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OM" sheetId="2" state="visible" r:id="rId4"/>
    <sheet name="Budget" sheetId="3" state="visible" r:id="rId5"/>
    <sheet name="Tools" sheetId="4" state="visible" r:id="rId6"/>
    <sheet name="Pins" sheetId="5" state="visible" r:id="rId7"/>
    <sheet name="Cut list" sheetId="6" state="visible" r:id="rId8"/>
    <sheet name="Schedule" sheetId="7" state="visible" r:id="rId9"/>
  </sheets>
  <definedNames>
    <definedName function="false" hidden="false" localSheetId="1" name="_xlnm.Print_Titles" vbProcedure="false">BOM!$4:$4</definedName>
    <definedName function="false" hidden="true" localSheetId="1" name="_xlnm._FilterDatabase" vbProcedure="false">BOM!$A$4:$L$62</definedName>
    <definedName function="false" hidden="true" localSheetId="4" name="_xlnm._FilterDatabase" vbProcedure="false">Pins!$A$4:$E$24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<sst xmlns="http://schemas.openxmlformats.org/spreadsheetml/2006/main" count="883" uniqueCount="679">
  <si>
    <t xml:space="preserve">Smart Waste Sorting Bin — BOM &amp; Cost Workbook</t>
  </si>
  <si>
    <t xml:space="preserve">智能分類垃圾桶 — 物料清單與成本工作簿</t>
  </si>
  <si>
    <t xml:space="preserve">Version 1.0 · 29 October 2026 · Prices in HKD · Indicative only</t>
  </si>
  <si>
    <t xml:space="preserve">Purpose</t>
  </si>
  <si>
    <t xml:space="preserve">Costed bill of materials for the recommended four-stream build, with tools, pin map and cut list.</t>
  </si>
  <si>
    <t xml:space="preserve">Currency</t>
  </si>
  <si>
    <t xml:space="preserve">Hong Kong dollars (HKD). Prices are indicative Hong Kong / Taobao street prices in October 2026.</t>
  </si>
  <si>
    <t xml:space="preserve">Recommended total</t>
  </si>
  <si>
    <t xml:space="preserve">See the BOM sheet total. Add 15% for shipping, tax and spares.</t>
  </si>
  <si>
    <t xml:space="preserve">Lean build</t>
  </si>
  <si>
    <t xml:space="preserve">≈ HK$3,200: HC-SR04 instead of 4 × VL53L1X; 12 V adapter instead of battery; reuse bins; no gas struts; no SHT31/metal kit.</t>
  </si>
  <si>
    <t xml:space="preserve">Enhanced build</t>
  </si>
  <si>
    <t xml:space="preserve">≈ HK$4,800: Pi 4 2 GB; aluminium frame; spare servo/stepper; better camera; UPS.</t>
  </si>
  <si>
    <t xml:space="preserve">How to edit</t>
  </si>
  <si>
    <t xml:space="preserve">Change Qty or Unit price; line totals and the total update automatically. The Budget sheet uses SUMIF on the BOM.</t>
  </si>
  <si>
    <t xml:space="preserve">Safety</t>
  </si>
  <si>
    <t xml:space="preserve">Use a certified Li-ion pack with BMS, a 5 A fuse, a main switch and an e-stop. Charge outside the bin. Do not use loose cells.</t>
  </si>
  <si>
    <t xml:space="preserve">Academic</t>
  </si>
  <si>
    <t xml:space="preserve">Keep receipts and a logbook. Prices change; verify before ordering.</t>
  </si>
  <si>
    <t xml:space="preserve">Priority</t>
  </si>
  <si>
    <t xml:space="preserve">Core = needed for the four-stream sorter; Optional = evidence/reliability upgrade, can be omitted in the lean build.</t>
  </si>
  <si>
    <t xml:space="preserve">Bill of Materials — recommended build</t>
  </si>
  <si>
    <t xml:space="preserve">All prices HKD, indicative. Edit Qty/Unit; Total is a formula. Core vs Optional is shown in the last column.</t>
  </si>
  <si>
    <t xml:space="preserve">ID</t>
  </si>
  <si>
    <t xml:space="preserve">Group</t>
  </si>
  <si>
    <t xml:space="preserve">Item (EN)</t>
  </si>
  <si>
    <t xml:space="preserve">Item (ZH)</t>
  </si>
  <si>
    <t xml:space="preserve">Specification</t>
  </si>
  <si>
    <t xml:space="preserve">Qty</t>
  </si>
  <si>
    <t xml:space="preserve">Unit (HKD)</t>
  </si>
  <si>
    <t xml:space="preserve">Total (HKD)</t>
  </si>
  <si>
    <t xml:space="preserve">Source</t>
  </si>
  <si>
    <t xml:space="preserve">Notes (EN)</t>
  </si>
  <si>
    <t xml:space="preserve">Notes (ZH)</t>
  </si>
  <si>
    <t xml:space="preserve">S-01</t>
  </si>
  <si>
    <t xml:space="preserve">Structure</t>
  </si>
  <si>
    <t xml:space="preserve">Plywood sheet, 18 mm</t>
  </si>
  <si>
    <r>
      <rPr>
        <sz val="9.5"/>
        <color rgb="FF1F2937"/>
        <rFont val="Calibri"/>
        <family val="0"/>
        <charset val="1"/>
      </rPr>
      <t xml:space="preserve">18 mm </t>
    </r>
    <r>
      <rPr>
        <sz val="9.5"/>
        <color rgb="FF1F2937"/>
        <rFont val="Noto Sans SC"/>
        <family val="2"/>
      </rPr>
      <t xml:space="preserve">夾板</t>
    </r>
  </si>
  <si>
    <t xml:space="preserve">1220 x 2440 mm, B/BB or marine ply</t>
  </si>
  <si>
    <t xml:space="preserve">Local wood shop</t>
  </si>
  <si>
    <t xml:space="preserve">Frame, drawer, lid; cut list in Appendix B</t>
  </si>
  <si>
    <r>
      <rPr>
        <sz val="9.5"/>
        <color rgb="FF1F2937"/>
        <rFont val="Noto Sans SC"/>
        <family val="2"/>
      </rPr>
      <t xml:space="preserve">框架、抽屜、蓋；切割表見附錄 </t>
    </r>
    <r>
      <rPr>
        <sz val="9.5"/>
        <color rgb="FF1F2937"/>
        <rFont val="Calibri"/>
        <family val="0"/>
        <charset val="1"/>
      </rPr>
      <t xml:space="preserve">B</t>
    </r>
  </si>
  <si>
    <t xml:space="preserve">Core</t>
  </si>
  <si>
    <t xml:space="preserve">S-02</t>
  </si>
  <si>
    <t xml:space="preserve">PP / acrylic sheet, 3 mm</t>
  </si>
  <si>
    <r>
      <rPr>
        <sz val="9.5"/>
        <color rgb="FF1F2937"/>
        <rFont val="Calibri"/>
        <family val="0"/>
        <charset val="1"/>
      </rPr>
      <t xml:space="preserve">3 mm PP</t>
    </r>
    <r>
      <rPr>
        <sz val="9.5"/>
        <color rgb="FF1F2937"/>
        <rFont val="Noto Sans SC"/>
        <family val="2"/>
      </rPr>
      <t xml:space="preserve">／亞克力板</t>
    </r>
  </si>
  <si>
    <t xml:space="preserve">600 x 400 mm, food-contact PP preferred</t>
  </si>
  <si>
    <t xml:space="preserve">Local plastics shop / Taobao</t>
  </si>
  <si>
    <t xml:space="preserve">Hopper liner, spout guard, drip shields</t>
  </si>
  <si>
    <t xml:space="preserve">料斗內襯、滑槽護板、滴水擋板</t>
  </si>
  <si>
    <t xml:space="preserve">S-03</t>
  </si>
  <si>
    <t xml:space="preserve">Piano hinge, 500 mm</t>
  </si>
  <si>
    <r>
      <rPr>
        <sz val="9.5"/>
        <color rgb="FF1F2937"/>
        <rFont val="Noto Sans SC"/>
        <family val="2"/>
      </rPr>
      <t xml:space="preserve">鋼琴鉸鏈 </t>
    </r>
    <r>
      <rPr>
        <sz val="9.5"/>
        <color rgb="FF1F2937"/>
        <rFont val="Calibri"/>
        <family val="0"/>
        <charset val="1"/>
      </rPr>
      <t xml:space="preserve">500 mm</t>
    </r>
  </si>
  <si>
    <t xml:space="preserve">Stainless steel, 32 mm open width</t>
  </si>
  <si>
    <t xml:space="preserve">Hardware shop</t>
  </si>
  <si>
    <t xml:space="preserve">Lid and hopper door</t>
  </si>
  <si>
    <t xml:space="preserve">蓋與料斗門</t>
  </si>
  <si>
    <t xml:space="preserve">S-04</t>
  </si>
  <si>
    <t xml:space="preserve">Drawer slides, 450 mm</t>
  </si>
  <si>
    <r>
      <rPr>
        <sz val="9.5"/>
        <color rgb="FF1F2937"/>
        <rFont val="Noto Sans SC"/>
        <family val="2"/>
      </rPr>
      <t xml:space="preserve">抽屜滑軌 </t>
    </r>
    <r>
      <rPr>
        <sz val="9.5"/>
        <color rgb="FF1F2937"/>
        <rFont val="Calibri"/>
        <family val="0"/>
        <charset val="1"/>
      </rPr>
      <t xml:space="preserve">450 mm</t>
    </r>
  </si>
  <si>
    <t xml:space="preserve">3-fold, 45 kg rated, pair</t>
  </si>
  <si>
    <t xml:space="preserve">One pair for the bin drawer</t>
  </si>
  <si>
    <t xml:space="preserve">垃圾桶抽屜一對</t>
  </si>
  <si>
    <t xml:space="preserve">S-05</t>
  </si>
  <si>
    <t xml:space="preserve">Gas strut, 60 N</t>
  </si>
  <si>
    <r>
      <rPr>
        <sz val="9.5"/>
        <color rgb="FF1F2937"/>
        <rFont val="Noto Sans SC"/>
        <family val="2"/>
      </rPr>
      <t xml:space="preserve">氣壓撐桿 </t>
    </r>
    <r>
      <rPr>
        <sz val="9.5"/>
        <color rgb="FF1F2937"/>
        <rFont val="Calibri"/>
        <family val="0"/>
        <charset val="1"/>
      </rPr>
      <t xml:space="preserve">60 N</t>
    </r>
  </si>
  <si>
    <t xml:space="preserve">250 mm extended, 10 mm ball ends</t>
  </si>
  <si>
    <t xml:space="preserve">Lid assist and stay</t>
  </si>
  <si>
    <t xml:space="preserve">協助開蓋及定位</t>
  </si>
  <si>
    <t xml:space="preserve">S-06</t>
  </si>
  <si>
    <t xml:space="preserve">Rubber feet</t>
  </si>
  <si>
    <t xml:space="preserve">橡膠腳墊</t>
  </si>
  <si>
    <t xml:space="preserve">30 mm diameter, M6 thread</t>
  </si>
  <si>
    <t xml:space="preserve">Vibration and floor protection</t>
  </si>
  <si>
    <t xml:space="preserve">減震及保護地板</t>
  </si>
  <si>
    <t xml:space="preserve">S-07</t>
  </si>
  <si>
    <t xml:space="preserve">Fixings assortment</t>
  </si>
  <si>
    <t xml:space="preserve">緊固件組合</t>
  </si>
  <si>
    <t xml:space="preserve">M4/M5 bolts, nuts, washers, inserts, angle brackets</t>
  </si>
  <si>
    <t xml:space="preserve">Allow 20% spare</t>
  </si>
  <si>
    <r>
      <rPr>
        <sz val="9.5"/>
        <color rgb="FF1F2937"/>
        <rFont val="Noto Sans SC"/>
        <family val="2"/>
      </rPr>
      <t xml:space="preserve">預留 </t>
    </r>
    <r>
      <rPr>
        <sz val="9.5"/>
        <color rgb="FF1F2937"/>
        <rFont val="Calibri"/>
        <family val="0"/>
        <charset val="1"/>
      </rPr>
      <t xml:space="preserve">20% </t>
    </r>
    <r>
      <rPr>
        <sz val="9.5"/>
        <color rgb="FF1F2937"/>
        <rFont val="Noto Sans SC"/>
        <family val="2"/>
      </rPr>
      <t xml:space="preserve">備用</t>
    </r>
  </si>
  <si>
    <t xml:space="preserve">S-08</t>
  </si>
  <si>
    <t xml:space="preserve">Silicone seal strip</t>
  </si>
  <si>
    <t xml:space="preserve">矽膠密封條</t>
  </si>
  <si>
    <t xml:space="preserve">10 x 3 mm, self-adhesive, 3 m</t>
  </si>
  <si>
    <t xml:space="preserve">Hopper door and lid gasket</t>
  </si>
  <si>
    <t xml:space="preserve">料斗門及蓋密封</t>
  </si>
  <si>
    <t xml:space="preserve">S-09</t>
  </si>
  <si>
    <t xml:space="preserve">Storage bins, 12 L</t>
  </si>
  <si>
    <r>
      <rPr>
        <sz val="9.5"/>
        <color rgb="FF1F2937"/>
        <rFont val="Calibri"/>
        <family val="0"/>
        <charset val="1"/>
      </rPr>
      <t xml:space="preserve">12 L </t>
    </r>
    <r>
      <rPr>
        <sz val="9.5"/>
        <color rgb="FF1F2937"/>
        <rFont val="Noto Sans SC"/>
        <family val="2"/>
      </rPr>
      <t xml:space="preserve">收納箱</t>
    </r>
  </si>
  <si>
    <t xml:space="preserve">Approx. 190 x 190 x 360 mm, PP, 4 pcs</t>
  </si>
  <si>
    <t xml:space="preserve">Japan Home / Taobao</t>
  </si>
  <si>
    <t xml:space="preserve">Cut an 80 x 80 mm inner-corner notch</t>
  </si>
  <si>
    <r>
      <rPr>
        <sz val="9.5"/>
        <color rgb="FF1F2937"/>
        <rFont val="Noto Sans SC"/>
        <family val="2"/>
      </rPr>
      <t xml:space="preserve">內角切 </t>
    </r>
    <r>
      <rPr>
        <sz val="9.5"/>
        <color rgb="FF1F2937"/>
        <rFont val="Calibri"/>
        <family val="0"/>
        <charset val="1"/>
      </rPr>
      <t xml:space="preserve">80 x 80 mm </t>
    </r>
    <r>
      <rPr>
        <sz val="9.5"/>
        <color rgb="FF1F2937"/>
        <rFont val="Noto Sans SC"/>
        <family val="2"/>
      </rPr>
      <t xml:space="preserve">缺口</t>
    </r>
  </si>
  <si>
    <t xml:space="preserve">S-10</t>
  </si>
  <si>
    <t xml:space="preserve">PETG filament</t>
  </si>
  <si>
    <r>
      <rPr>
        <sz val="9.5"/>
        <color rgb="FF1F2937"/>
        <rFont val="Calibri"/>
        <family val="0"/>
        <charset val="1"/>
      </rPr>
      <t xml:space="preserve">PETG </t>
    </r>
    <r>
      <rPr>
        <sz val="9.5"/>
        <color rgb="FF1F2937"/>
        <rFont val="Noto Sans SC"/>
        <family val="2"/>
      </rPr>
      <t xml:space="preserve">線材</t>
    </r>
  </si>
  <si>
    <t xml:space="preserve">1.75 mm, 1 kg, black</t>
  </si>
  <si>
    <t xml:space="preserve">3D printing shop</t>
  </si>
  <si>
    <t xml:space="preserve">Camera bracket, sensor mounts, spout collar</t>
  </si>
  <si>
    <t xml:space="preserve">鏡頭支架、感測器座、滑槽環</t>
  </si>
  <si>
    <t xml:space="preserve">S-11</t>
  </si>
  <si>
    <t xml:space="preserve">Adhesive and sealant</t>
  </si>
  <si>
    <t xml:space="preserve">膠水及密封膠</t>
  </si>
  <si>
    <t xml:space="preserve">Epoxy, acrylic cement, neutral silicone</t>
  </si>
  <si>
    <t xml:space="preserve">Do not use silicone on load cells</t>
  </si>
  <si>
    <t xml:space="preserve">負重感測器附近勿用矽膠</t>
  </si>
  <si>
    <t xml:space="preserve">S-12</t>
  </si>
  <si>
    <t xml:space="preserve">Matte black paint</t>
  </si>
  <si>
    <t xml:space="preserve">啞黑噴漆</t>
  </si>
  <si>
    <t xml:space="preserve">400 ml, low sheen</t>
  </si>
  <si>
    <t xml:space="preserve">Inside hopper to reduce glare</t>
  </si>
  <si>
    <t xml:space="preserve">料斗內部減少反光</t>
  </si>
  <si>
    <t xml:space="preserve">M-01</t>
  </si>
  <si>
    <t xml:space="preserve">Motion</t>
  </si>
  <si>
    <t xml:space="preserve">NEMA 17 stepper motor</t>
  </si>
  <si>
    <r>
      <rPr>
        <sz val="9.5"/>
        <color rgb="FF1F2937"/>
        <rFont val="Calibri"/>
        <family val="0"/>
        <charset val="1"/>
      </rPr>
      <t xml:space="preserve">NEMA 17 </t>
    </r>
    <r>
      <rPr>
        <sz val="9.5"/>
        <color rgb="FF1F2937"/>
        <rFont val="Noto Sans SC"/>
        <family val="2"/>
      </rPr>
      <t xml:space="preserve">步進馬達</t>
    </r>
  </si>
  <si>
    <t xml:space="preserve">42BYGH40, 1.7 A, 0.45 N·m, 1.8 deg</t>
  </si>
  <si>
    <t xml:space="preserve">Taobao / Robot shop</t>
  </si>
  <si>
    <t xml:space="preserve">Drives rotating spout through 3:1 GT2 belt</t>
  </si>
  <si>
    <r>
      <rPr>
        <sz val="9.5"/>
        <color rgb="FF1F2937"/>
        <rFont val="Noto Sans SC"/>
        <family val="2"/>
      </rPr>
      <t xml:space="preserve">經 </t>
    </r>
    <r>
      <rPr>
        <sz val="9.5"/>
        <color rgb="FF1F2937"/>
        <rFont val="Calibri"/>
        <family val="0"/>
        <charset val="1"/>
      </rPr>
      <t xml:space="preserve">3:1 GT2 </t>
    </r>
    <r>
      <rPr>
        <sz val="9.5"/>
        <color rgb="FF1F2937"/>
        <rFont val="Noto Sans SC"/>
        <family val="2"/>
      </rPr>
      <t xml:space="preserve">皮帶驅動旋轉滑槽</t>
    </r>
  </si>
  <si>
    <t xml:space="preserve">M-02</t>
  </si>
  <si>
    <t xml:space="preserve">Stepper driver A4988</t>
  </si>
  <si>
    <r>
      <rPr>
        <sz val="9.5"/>
        <color rgb="FF1F2937"/>
        <rFont val="Calibri"/>
        <family val="0"/>
        <charset val="1"/>
      </rPr>
      <t xml:space="preserve">A4988 </t>
    </r>
    <r>
      <rPr>
        <sz val="9.5"/>
        <color rgb="FF1F2937"/>
        <rFont val="Noto Sans SC"/>
        <family val="2"/>
      </rPr>
      <t xml:space="preserve">步進驅動</t>
    </r>
  </si>
  <si>
    <t xml:space="preserve">With heatsink; 1/8 microstep</t>
  </si>
  <si>
    <t xml:space="preserve">Taobao</t>
  </si>
  <si>
    <t xml:space="preserve">Set Vref to 0.64 V for 0.8 A</t>
  </si>
  <si>
    <r>
      <rPr>
        <sz val="9.5"/>
        <color rgb="FF1F2937"/>
        <rFont val="Calibri"/>
        <family val="0"/>
        <charset val="1"/>
      </rPr>
      <t xml:space="preserve">Vref </t>
    </r>
    <r>
      <rPr>
        <sz val="9.5"/>
        <color rgb="FF1F2937"/>
        <rFont val="Noto Sans SC"/>
        <family val="2"/>
      </rPr>
      <t xml:space="preserve">調至 </t>
    </r>
    <r>
      <rPr>
        <sz val="9.5"/>
        <color rgb="FF1F2937"/>
        <rFont val="Calibri"/>
        <family val="0"/>
        <charset val="1"/>
      </rPr>
      <t xml:space="preserve">0.64 V</t>
    </r>
    <r>
      <rPr>
        <sz val="9.5"/>
        <color rgb="FF1F2937"/>
        <rFont val="Noto Sans SC"/>
        <family val="2"/>
      </rPr>
      <t xml:space="preserve">（</t>
    </r>
    <r>
      <rPr>
        <sz val="9.5"/>
        <color rgb="FF1F2937"/>
        <rFont val="Calibri"/>
        <family val="0"/>
        <charset val="1"/>
      </rPr>
      <t xml:space="preserve">0.8 A</t>
    </r>
    <r>
      <rPr>
        <sz val="9.5"/>
        <color rgb="FF1F2937"/>
        <rFont val="Noto Sans SC"/>
        <family val="2"/>
      </rPr>
      <t xml:space="preserve">）</t>
    </r>
  </si>
  <si>
    <t xml:space="preserve">M-03</t>
  </si>
  <si>
    <t xml:space="preserve">GT2 pulley set</t>
  </si>
  <si>
    <r>
      <rPr>
        <sz val="9.5"/>
        <color rgb="FF1F2937"/>
        <rFont val="Calibri"/>
        <family val="0"/>
        <charset val="1"/>
      </rPr>
      <t xml:space="preserve">GT2 </t>
    </r>
    <r>
      <rPr>
        <sz val="9.5"/>
        <color rgb="FF1F2937"/>
        <rFont val="Noto Sans SC"/>
        <family val="2"/>
      </rPr>
      <t xml:space="preserve">皮帶輪組</t>
    </r>
  </si>
  <si>
    <t xml:space="preserve">20T motor, 60T shaft, 200 mm belt</t>
  </si>
  <si>
    <t xml:space="preserve">3:1 reduction; printed hub acceptable</t>
  </si>
  <si>
    <r>
      <rPr>
        <sz val="9.5"/>
        <color rgb="FF1F2937"/>
        <rFont val="Calibri"/>
        <family val="0"/>
        <charset val="1"/>
      </rPr>
      <t xml:space="preserve">3:1 </t>
    </r>
    <r>
      <rPr>
        <sz val="9.5"/>
        <color rgb="FF1F2937"/>
        <rFont val="Noto Sans SC"/>
        <family val="2"/>
      </rPr>
      <t xml:space="preserve">減速；可用打印輪轂</t>
    </r>
  </si>
  <si>
    <t xml:space="preserve">M-04</t>
  </si>
  <si>
    <t xml:space="preserve">Lazy Susan bearing</t>
  </si>
  <si>
    <t xml:space="preserve">轉盤軸承</t>
  </si>
  <si>
    <t xml:space="preserve">150 mm OD, 5 mm thick</t>
  </si>
  <si>
    <t xml:space="preserve">Spout collar bearing</t>
  </si>
  <si>
    <t xml:space="preserve">滑槽環軸承</t>
  </si>
  <si>
    <t xml:space="preserve">M-05</t>
  </si>
  <si>
    <t xml:space="preserve">Ball bearings 608ZZ</t>
  </si>
  <si>
    <r>
      <rPr>
        <sz val="9.5"/>
        <color rgb="FF1F2937"/>
        <rFont val="Calibri"/>
        <family val="0"/>
        <charset val="1"/>
      </rPr>
      <t xml:space="preserve">608ZZ </t>
    </r>
    <r>
      <rPr>
        <sz val="9.5"/>
        <color rgb="FF1F2937"/>
        <rFont val="Noto Sans SC"/>
        <family val="2"/>
      </rPr>
      <t xml:space="preserve">軸承</t>
    </r>
  </si>
  <si>
    <t xml:space="preserve">8 x 22 x 7 mm</t>
  </si>
  <si>
    <t xml:space="preserve">Spout guide rollers</t>
  </si>
  <si>
    <t xml:space="preserve">滑槽導輪</t>
  </si>
  <si>
    <t xml:space="preserve">M-06</t>
  </si>
  <si>
    <t xml:space="preserve">Metal-gear servo, 25 kg·cm</t>
  </si>
  <si>
    <r>
      <rPr>
        <sz val="9.5"/>
        <color rgb="FF1F2937"/>
        <rFont val="Noto Sans SC"/>
        <family val="2"/>
      </rPr>
      <t xml:space="preserve">金屬齒輪伺服 </t>
    </r>
    <r>
      <rPr>
        <sz val="9.5"/>
        <color rgb="FF1F2937"/>
        <rFont val="Calibri"/>
        <family val="0"/>
        <charset val="1"/>
      </rPr>
      <t xml:space="preserve">25 kg·cm</t>
    </r>
  </si>
  <si>
    <t xml:space="preserve">DS3225MG or equivalent, 6.8 V</t>
  </si>
  <si>
    <t xml:space="preserve">Taobao / RC shop</t>
  </si>
  <si>
    <t xml:space="preserve">Hopper door; spring-assisted; max 1.5 kg item</t>
  </si>
  <si>
    <r>
      <rPr>
        <sz val="9.5"/>
        <color rgb="FF1F2937"/>
        <rFont val="Noto Sans SC"/>
        <family val="2"/>
      </rPr>
      <t xml:space="preserve">料斗門；彈簧輔助；物件上限 </t>
    </r>
    <r>
      <rPr>
        <sz val="9.5"/>
        <color rgb="FF1F2937"/>
        <rFont val="Calibri"/>
        <family val="0"/>
        <charset val="1"/>
      </rPr>
      <t xml:space="preserve">1.5 kg</t>
    </r>
  </si>
  <si>
    <t xml:space="preserve">M-07</t>
  </si>
  <si>
    <t xml:space="preserve">Servo horn, spring and cable set</t>
  </si>
  <si>
    <t xml:space="preserve">伺服舵角、彈簧及拉線</t>
  </si>
  <si>
    <t xml:space="preserve">Aluminium horn, 0.8 x 20 x 80 mm spring, 1 mm cable</t>
  </si>
  <si>
    <t xml:space="preserve">Spring closes door on power loss</t>
  </si>
  <si>
    <t xml:space="preserve">斷電時彈簧關門</t>
  </si>
  <si>
    <t xml:space="preserve">M-08</t>
  </si>
  <si>
    <t xml:space="preserve">PVC elbow 110 mm, 45 deg</t>
  </si>
  <si>
    <r>
      <rPr>
        <sz val="9.5"/>
        <color rgb="FF1F2937"/>
        <rFont val="Calibri"/>
        <family val="0"/>
        <charset val="1"/>
      </rPr>
      <t xml:space="preserve">110 mm PVC 45 </t>
    </r>
    <r>
      <rPr>
        <sz val="9.5"/>
        <color rgb="FF1F2937"/>
        <rFont val="Noto Sans SC"/>
        <family val="2"/>
      </rPr>
      <t xml:space="preserve">度彎頭</t>
    </r>
  </si>
  <si>
    <t xml:space="preserve">DWV or pressure pipe, outlet 110 mm</t>
  </si>
  <si>
    <t xml:space="preserve">Plumbing shop</t>
  </si>
  <si>
    <t xml:space="preserve">Rotating spout; cut and sand smooth</t>
  </si>
  <si>
    <t xml:space="preserve">旋轉滑槽；切磨光滑</t>
  </si>
  <si>
    <t xml:space="preserve">M-09</t>
  </si>
  <si>
    <t xml:space="preserve">Funnel sheet / printed funnel</t>
  </si>
  <si>
    <t xml:space="preserve">漏斗板材／打印漏斗</t>
  </si>
  <si>
    <t xml:space="preserve">PP sheet or PETG print; inlet 280 x 260, outlet 110 mm</t>
  </si>
  <si>
    <t xml:space="preserve">Local plastics / 3D print</t>
  </si>
  <si>
    <t xml:space="preserve">60 deg walls; smooth joints</t>
  </si>
  <si>
    <r>
      <rPr>
        <sz val="9.5"/>
        <color rgb="FF1F2937"/>
        <rFont val="Calibri"/>
        <family val="0"/>
        <charset val="1"/>
      </rPr>
      <t xml:space="preserve">60 </t>
    </r>
    <r>
      <rPr>
        <sz val="9.5"/>
        <color rgb="FF1F2937"/>
        <rFont val="Noto Sans SC"/>
        <family val="2"/>
      </rPr>
      <t xml:space="preserve">度壁；接縫平滑</t>
    </r>
  </si>
  <si>
    <t xml:space="preserve">M-10</t>
  </si>
  <si>
    <t xml:space="preserve">Micro switches</t>
  </si>
  <si>
    <t xml:space="preserve">微動開關</t>
  </si>
  <si>
    <t xml:space="preserve">SPDT, 5 A, lever</t>
  </si>
  <si>
    <t xml:space="preserve">Home, door closed, drawer closed</t>
  </si>
  <si>
    <t xml:space="preserve">原點、門關、抽屜關</t>
  </si>
  <si>
    <t xml:space="preserve">M-11</t>
  </si>
  <si>
    <t xml:space="preserve">Vibration motor, 12 V</t>
  </si>
  <si>
    <r>
      <rPr>
        <sz val="9.5"/>
        <color rgb="FF1F2937"/>
        <rFont val="Calibri"/>
        <family val="0"/>
        <charset val="1"/>
      </rPr>
      <t xml:space="preserve">12 V </t>
    </r>
    <r>
      <rPr>
        <sz val="9.5"/>
        <color rgb="FF1F2937"/>
        <rFont val="Noto Sans SC"/>
        <family val="2"/>
      </rPr>
      <t xml:space="preserve">震動馬達</t>
    </r>
  </si>
  <si>
    <t xml:space="preserve">10 mm coin, 3-5 V or 12 V via driver</t>
  </si>
  <si>
    <t xml:space="preserve">Optional anti-jam on funnel</t>
  </si>
  <si>
    <t xml:space="preserve">可選：漏斗防卡</t>
  </si>
  <si>
    <t xml:space="preserve">Optional</t>
  </si>
  <si>
    <t xml:space="preserve">E-01</t>
  </si>
  <si>
    <t xml:space="preserve">Sensing</t>
  </si>
  <si>
    <t xml:space="preserve">USB camera, 5 MP</t>
  </si>
  <si>
    <r>
      <rPr>
        <sz val="9.5"/>
        <color rgb="FF1F2937"/>
        <rFont val="Calibri"/>
        <family val="0"/>
        <charset val="1"/>
      </rPr>
      <t xml:space="preserve">USB </t>
    </r>
    <r>
      <rPr>
        <sz val="9.5"/>
        <color rgb="FF1F2937"/>
        <rFont val="Noto Sans SC"/>
        <family val="2"/>
      </rPr>
      <t xml:space="preserve">鏡頭 </t>
    </r>
    <r>
      <rPr>
        <sz val="9.5"/>
        <color rgb="FF1F2937"/>
        <rFont val="Calibri"/>
        <family val="0"/>
        <charset val="1"/>
      </rPr>
      <t xml:space="preserve">5 MP</t>
    </r>
  </si>
  <si>
    <t xml:space="preserve">UVC, 90 deg diagonal FOV, manual focus, 1 m cable</t>
  </si>
  <si>
    <t xml:space="preserve">Taobao / computer shop</t>
  </si>
  <si>
    <t xml:space="preserve">1280 x 720 capture; fixed exposure</t>
  </si>
  <si>
    <r>
      <rPr>
        <sz val="9.5"/>
        <color rgb="FF1F2937"/>
        <rFont val="Calibri"/>
        <family val="0"/>
        <charset val="1"/>
      </rPr>
      <t xml:space="preserve">1280 x 720 </t>
    </r>
    <r>
      <rPr>
        <sz val="9.5"/>
        <color rgb="FF1F2937"/>
        <rFont val="Noto Sans SC"/>
        <family val="2"/>
      </rPr>
      <t xml:space="preserve">擷取；固定曝光</t>
    </r>
  </si>
  <si>
    <t xml:space="preserve">E-02</t>
  </si>
  <si>
    <t xml:space="preserve">Raspberry Pi Zero 2 W</t>
  </si>
  <si>
    <t xml:space="preserve">Quad-core Cortex-A53, 512 MB RAM</t>
  </si>
  <si>
    <t xml:space="preserve">HK Raspberry Pi reseller</t>
  </si>
  <si>
    <t xml:space="preserve">Vision, web app, database, cloud sync</t>
  </si>
  <si>
    <t xml:space="preserve">視覺、網頁應用、資料庫、雲端同步</t>
  </si>
  <si>
    <t xml:space="preserve">E-03</t>
  </si>
  <si>
    <t xml:space="preserve">microSD card, 32 GB</t>
  </si>
  <si>
    <r>
      <rPr>
        <sz val="9.5"/>
        <color rgb="FF1F2937"/>
        <rFont val="Calibri"/>
        <family val="0"/>
        <charset val="1"/>
      </rPr>
      <t xml:space="preserve">microSD </t>
    </r>
    <r>
      <rPr>
        <sz val="9.5"/>
        <color rgb="FF1F2937"/>
        <rFont val="Noto Sans SC"/>
        <family val="2"/>
      </rPr>
      <t xml:space="preserve">卡 </t>
    </r>
    <r>
      <rPr>
        <sz val="9.5"/>
        <color rgb="FF1F2937"/>
        <rFont val="Calibri"/>
        <family val="0"/>
        <charset val="1"/>
      </rPr>
      <t xml:space="preserve">32 GB</t>
    </r>
  </si>
  <si>
    <t xml:space="preserve">Class 10 / A1</t>
  </si>
  <si>
    <t xml:space="preserve">Computer shop</t>
  </si>
  <si>
    <t xml:space="preserve">Use a branded card; back up image</t>
  </si>
  <si>
    <t xml:space="preserve">使用品牌卡；備份映像</t>
  </si>
  <si>
    <t xml:space="preserve">E-04</t>
  </si>
  <si>
    <t xml:space="preserve">ESP32 DevKit V1</t>
  </si>
  <si>
    <t xml:space="preserve">30-pin, ESP32-WROOM-32, USB</t>
  </si>
  <si>
    <t xml:space="preserve">Real-time sensor and motion controller</t>
  </si>
  <si>
    <t xml:space="preserve">實時感測與運動控制</t>
  </si>
  <si>
    <t xml:space="preserve">E-05</t>
  </si>
  <si>
    <t xml:space="preserve">Load cell set, 5 kg</t>
  </si>
  <si>
    <r>
      <rPr>
        <sz val="9.5"/>
        <color rgb="FF1F2937"/>
        <rFont val="Calibri"/>
        <family val="0"/>
        <charset val="1"/>
      </rPr>
      <t xml:space="preserve">5 kg </t>
    </r>
    <r>
      <rPr>
        <sz val="9.5"/>
        <color rgb="FF1F2937"/>
        <rFont val="Noto Sans SC"/>
        <family val="2"/>
      </rPr>
      <t xml:space="preserve">負重感測器組</t>
    </r>
  </si>
  <si>
    <t xml:space="preserve">4 x half-bridge 5 kg + combinator + HX711</t>
  </si>
  <si>
    <t xml:space="preserve">Weigh hopper; 20 kg total capacity</t>
  </si>
  <si>
    <r>
      <rPr>
        <sz val="9.5"/>
        <color rgb="FF1F2937"/>
        <rFont val="Noto Sans SC"/>
        <family val="2"/>
      </rPr>
      <t xml:space="preserve">稱重料斗；總容量 </t>
    </r>
    <r>
      <rPr>
        <sz val="9.5"/>
        <color rgb="FF1F2937"/>
        <rFont val="Calibri"/>
        <family val="0"/>
        <charset val="1"/>
      </rPr>
      <t xml:space="preserve">20 kg</t>
    </r>
  </si>
  <si>
    <t xml:space="preserve">E-06</t>
  </si>
  <si>
    <t xml:space="preserve">VL53L0X ToF sensor</t>
  </si>
  <si>
    <r>
      <rPr>
        <sz val="9.5"/>
        <color rgb="FF1F2937"/>
        <rFont val="Calibri"/>
        <family val="0"/>
        <charset val="1"/>
      </rPr>
      <t xml:space="preserve">VL53L0X </t>
    </r>
    <r>
      <rPr>
        <sz val="9.5"/>
        <color rgb="FF1F2937"/>
        <rFont val="Noto Sans SC"/>
        <family val="2"/>
      </rPr>
      <t xml:space="preserve">飛時測距</t>
    </r>
  </si>
  <si>
    <t xml:space="preserve">I2C, up to 2 m, item presence</t>
  </si>
  <si>
    <t xml:space="preserve">Lid-mounted, looks down at hopper</t>
  </si>
  <si>
    <t xml:space="preserve">裝於蓋，向下看料斗</t>
  </si>
  <si>
    <t xml:space="preserve">E-07</t>
  </si>
  <si>
    <t xml:space="preserve">VL53L1X ToF sensor</t>
  </si>
  <si>
    <r>
      <rPr>
        <sz val="9.5"/>
        <color rgb="FF1F2937"/>
        <rFont val="Calibri"/>
        <family val="0"/>
        <charset val="1"/>
      </rPr>
      <t xml:space="preserve">VL53L1X </t>
    </r>
    <r>
      <rPr>
        <sz val="9.5"/>
        <color rgb="FF1F2937"/>
        <rFont val="Noto Sans SC"/>
        <family val="2"/>
      </rPr>
      <t xml:space="preserve">飛時測距</t>
    </r>
  </si>
  <si>
    <t xml:space="preserve">I2C, up to 4 m, 4 pcs for bin levels</t>
  </si>
  <si>
    <t xml:space="preserve">Better than ultrasonic in narrow bins</t>
  </si>
  <si>
    <t xml:space="preserve">窄桶內比超聲波可靠</t>
  </si>
  <si>
    <t xml:space="preserve">E-08</t>
  </si>
  <si>
    <t xml:space="preserve">IR break-beam set</t>
  </si>
  <si>
    <t xml:space="preserve">紅外對射組</t>
  </si>
  <si>
    <t xml:space="preserve">940 nm LED + TSOP38238 receiver, 38 kHz</t>
  </si>
  <si>
    <t xml:space="preserve">Hand/object safety beam across hopper mouth</t>
  </si>
  <si>
    <t xml:space="preserve">料斗口安全光束</t>
  </si>
  <si>
    <t xml:space="preserve">E-09</t>
  </si>
  <si>
    <t xml:space="preserve">SHT31 temperature/humidity</t>
  </si>
  <si>
    <r>
      <rPr>
        <sz val="9.5"/>
        <color rgb="FF1F2937"/>
        <rFont val="Calibri"/>
        <family val="0"/>
        <charset val="1"/>
      </rPr>
      <t xml:space="preserve">SHT31 </t>
    </r>
    <r>
      <rPr>
        <sz val="9.5"/>
        <color rgb="FF1F2937"/>
        <rFont val="Noto Sans SC"/>
        <family val="2"/>
      </rPr>
      <t xml:space="preserve">溫濕度</t>
    </r>
  </si>
  <si>
    <t xml:space="preserve">I2C, +/-2% RH</t>
  </si>
  <si>
    <t xml:space="preserve">Bin environment log (optional for sorting)</t>
  </si>
  <si>
    <t xml:space="preserve">桶內環境記錄（分類非必需）</t>
  </si>
  <si>
    <t xml:space="preserve">E-10</t>
  </si>
  <si>
    <t xml:space="preserve">Capacitive moisture sensor</t>
  </si>
  <si>
    <t xml:space="preserve">電容式濕度感測</t>
  </si>
  <si>
    <t xml:space="preserve">Corrosion-resistant PCB, analog</t>
  </si>
  <si>
    <t xml:space="preserve">Under 1.5 mm HDPE cover on hopper door</t>
  </si>
  <si>
    <r>
      <rPr>
        <sz val="9.5"/>
        <color rgb="FF1F2937"/>
        <rFont val="Noto Sans SC"/>
        <family val="2"/>
      </rPr>
      <t xml:space="preserve">料斗門 </t>
    </r>
    <r>
      <rPr>
        <sz val="9.5"/>
        <color rgb="FF1F2937"/>
        <rFont val="Calibri"/>
        <family val="0"/>
        <charset val="1"/>
      </rPr>
      <t xml:space="preserve">1.5 mm HDPE </t>
    </r>
    <r>
      <rPr>
        <sz val="9.5"/>
        <color rgb="FF1F2937"/>
        <rFont val="Noto Sans SC"/>
        <family val="2"/>
      </rPr>
      <t xml:space="preserve">蓋下</t>
    </r>
  </si>
  <si>
    <t xml:space="preserve">E-11</t>
  </si>
  <si>
    <t xml:space="preserve">DIY metal detector kit</t>
  </si>
  <si>
    <r>
      <rPr>
        <sz val="9.5"/>
        <color rgb="FF1F2937"/>
        <rFont val="Calibri"/>
        <family val="0"/>
        <charset val="1"/>
      </rPr>
      <t xml:space="preserve">DIY </t>
    </r>
    <r>
      <rPr>
        <sz val="9.5"/>
        <color rgb="FF1F2937"/>
        <rFont val="Noto Sans SC"/>
        <family val="2"/>
      </rPr>
      <t xml:space="preserve">金屬探測套件</t>
    </r>
  </si>
  <si>
    <t xml:space="preserve">3-5 V kit, 60 mm coil; add 150 mm custom coil</t>
  </si>
  <si>
    <t xml:space="preserve">Confirmation only; tune away from frame</t>
  </si>
  <si>
    <t xml:space="preserve">僅作確認；遠離金屬框調校</t>
  </si>
  <si>
    <t xml:space="preserve">E-12</t>
  </si>
  <si>
    <t xml:space="preserve">PCF8574 I2C expander</t>
  </si>
  <si>
    <r>
      <rPr>
        <sz val="9.5"/>
        <color rgb="FF1F2937"/>
        <rFont val="Calibri"/>
        <family val="0"/>
        <charset val="1"/>
      </rPr>
      <t xml:space="preserve">PCF8574 I2C </t>
    </r>
    <r>
      <rPr>
        <sz val="9.5"/>
        <color rgb="FF1F2937"/>
        <rFont val="Noto Sans SC"/>
        <family val="2"/>
      </rPr>
      <t xml:space="preserve">擴展</t>
    </r>
  </si>
  <si>
    <t xml:space="preserve">8-bit, address 0x20</t>
  </si>
  <si>
    <t xml:space="preserve">Lid, door, drawer, home and bin-present switches</t>
  </si>
  <si>
    <t xml:space="preserve">蓋、門、抽屜、原點及桶在位開關</t>
  </si>
  <si>
    <t xml:space="preserve">E-13</t>
  </si>
  <si>
    <t xml:space="preserve">Reed switch and magnet set</t>
  </si>
  <si>
    <t xml:space="preserve">磁簧開關及磁鐵組</t>
  </si>
  <si>
    <t xml:space="preserve">NC/NO, 4 sets</t>
  </si>
  <si>
    <t xml:space="preserve">Bin-present detection without drawer wiring</t>
  </si>
  <si>
    <t xml:space="preserve">免抽屜布线偵測桶在位</t>
  </si>
  <si>
    <t xml:space="preserve">E-14</t>
  </si>
  <si>
    <t xml:space="preserve">Push button, e-stop, power switch</t>
  </si>
  <si>
    <t xml:space="preserve">按鈕、急停、電源開關</t>
  </si>
  <si>
    <t xml:space="preserve">22 mm, 1 NO/1 NC, 10 A</t>
  </si>
  <si>
    <t xml:space="preserve">Front panel; e-stop cuts actuator 12 V</t>
  </si>
  <si>
    <r>
      <rPr>
        <sz val="9.5"/>
        <color rgb="FF1F2937"/>
        <rFont val="Noto Sans SC"/>
        <family val="2"/>
      </rPr>
      <t xml:space="preserve">前面板；急停切斷執行器 </t>
    </r>
    <r>
      <rPr>
        <sz val="9.5"/>
        <color rgb="FF1F2937"/>
        <rFont val="Calibri"/>
        <family val="0"/>
        <charset val="1"/>
      </rPr>
      <t xml:space="preserve">12 V</t>
    </r>
  </si>
  <si>
    <t xml:space="preserve">E-15</t>
  </si>
  <si>
    <t xml:space="preserve">WS2812B LED bar, 8 LEDs</t>
  </si>
  <si>
    <r>
      <rPr>
        <sz val="9.5"/>
        <color rgb="FF1F2937"/>
        <rFont val="Calibri"/>
        <family val="0"/>
        <charset val="1"/>
      </rPr>
      <t xml:space="preserve">WS2812B </t>
    </r>
    <r>
      <rPr>
        <sz val="9.5"/>
        <color rgb="FF1F2937"/>
        <rFont val="Noto Sans SC"/>
        <family val="2"/>
      </rPr>
      <t xml:space="preserve">燈條 </t>
    </r>
    <r>
      <rPr>
        <sz val="9.5"/>
        <color rgb="FF1F2937"/>
        <rFont val="Calibri"/>
        <family val="0"/>
        <charset val="1"/>
      </rPr>
      <t xml:space="preserve">8 </t>
    </r>
    <r>
      <rPr>
        <sz val="9.5"/>
        <color rgb="FF1F2937"/>
        <rFont val="Noto Sans SC"/>
        <family val="2"/>
      </rPr>
      <t xml:space="preserve">粒</t>
    </r>
  </si>
  <si>
    <t xml:space="preserve">5 V, IP30, diffused</t>
  </si>
  <si>
    <t xml:space="preserve">Status indication; no screen needed</t>
  </si>
  <si>
    <t xml:space="preserve">狀態指示；無需螢幕</t>
  </si>
  <si>
    <t xml:space="preserve">E-16</t>
  </si>
  <si>
    <t xml:space="preserve">Piezo buzzer</t>
  </si>
  <si>
    <t xml:space="preserve">蜂鳴器</t>
  </si>
  <si>
    <t xml:space="preserve">3.3-5 V active</t>
  </si>
  <si>
    <t xml:space="preserve">Audible fault/sort confirmation</t>
  </si>
  <si>
    <t xml:space="preserve">錯誤／完成提示音</t>
  </si>
  <si>
    <t xml:space="preserve">P-01</t>
  </si>
  <si>
    <t xml:space="preserve">Power</t>
  </si>
  <si>
    <t xml:space="preserve">12 V 6 Ah Li-ion pack with BMS</t>
  </si>
  <si>
    <r>
      <rPr>
        <sz val="9.5"/>
        <color rgb="FF1F2937"/>
        <rFont val="Calibri"/>
        <family val="0"/>
        <charset val="1"/>
      </rPr>
      <t xml:space="preserve">12 V 6 Ah </t>
    </r>
    <r>
      <rPr>
        <sz val="9.5"/>
        <color rgb="FF1F2937"/>
        <rFont val="Noto Sans SC"/>
        <family val="2"/>
      </rPr>
      <t xml:space="preserve">鋰電池組（含 </t>
    </r>
    <r>
      <rPr>
        <sz val="9.5"/>
        <color rgb="FF1F2937"/>
        <rFont val="Calibri"/>
        <family val="0"/>
        <charset val="1"/>
      </rPr>
      <t xml:space="preserve">BMS</t>
    </r>
    <r>
      <rPr>
        <sz val="9.5"/>
        <color rgb="FF1F2937"/>
        <rFont val="Noto Sans SC"/>
        <family val="2"/>
      </rPr>
      <t xml:space="preserve">）</t>
    </r>
  </si>
  <si>
    <t xml:space="preserve">3S2P 18650, certified assembly, 12.6 V charger</t>
  </si>
  <si>
    <t xml:space="preserve">Battery specialist</t>
  </si>
  <si>
    <t xml:space="preserve">Preferred: factory-assembled pack; never build unsupervised</t>
  </si>
  <si>
    <t xml:space="preserve">首選：工廠組裝；切勿無人監督自行組裝</t>
  </si>
  <si>
    <t xml:space="preserve">P-02</t>
  </si>
  <si>
    <t xml:space="preserve">12 V 5 A bench adapter</t>
  </si>
  <si>
    <r>
      <rPr>
        <sz val="9.5"/>
        <color rgb="FF1F2937"/>
        <rFont val="Calibri"/>
        <family val="0"/>
        <charset val="1"/>
      </rPr>
      <t xml:space="preserve">12 V 5 A </t>
    </r>
    <r>
      <rPr>
        <sz val="9.5"/>
        <color rgb="FF1F2937"/>
        <rFont val="Noto Sans SC"/>
        <family val="2"/>
      </rPr>
      <t xml:space="preserve">桌面電源</t>
    </r>
  </si>
  <si>
    <t xml:space="preserve">5.5 x 2.1 mm plug, CE/BS marked</t>
  </si>
  <si>
    <t xml:space="preserve">Use for development and long tests</t>
  </si>
  <si>
    <t xml:space="preserve">開發及長時間測試用</t>
  </si>
  <si>
    <t xml:space="preserve">P-03</t>
  </si>
  <si>
    <t xml:space="preserve">Buck converter 12 V -&gt; 5 V 5 A</t>
  </si>
  <si>
    <r>
      <rPr>
        <sz val="9.5"/>
        <color rgb="FF1F2937"/>
        <rFont val="Noto Sans SC"/>
        <family val="2"/>
      </rPr>
      <t xml:space="preserve">降壓模組 </t>
    </r>
    <r>
      <rPr>
        <sz val="9.5"/>
        <color rgb="FF1F2937"/>
        <rFont val="Calibri"/>
        <family val="0"/>
        <charset val="1"/>
      </rPr>
      <t xml:space="preserve">12 V -&gt; 5 V 5 A</t>
    </r>
  </si>
  <si>
    <t xml:space="preserve">XL4015 or similar, heatsink</t>
  </si>
  <si>
    <t xml:space="preserve">Raspberry Pi and USB hub</t>
  </si>
  <si>
    <r>
      <rPr>
        <sz val="9.5"/>
        <color rgb="FF1F2937"/>
        <rFont val="Calibri"/>
        <family val="0"/>
        <charset val="1"/>
      </rPr>
      <t xml:space="preserve">Raspberry Pi </t>
    </r>
    <r>
      <rPr>
        <sz val="9.5"/>
        <color rgb="FF1F2937"/>
        <rFont val="Noto Sans SC"/>
        <family val="2"/>
      </rPr>
      <t xml:space="preserve">及 </t>
    </r>
    <r>
      <rPr>
        <sz val="9.5"/>
        <color rgb="FF1F2937"/>
        <rFont val="Calibri"/>
        <family val="0"/>
        <charset val="1"/>
      </rPr>
      <t xml:space="preserve">USB hub</t>
    </r>
  </si>
  <si>
    <t xml:space="preserve">P-04</t>
  </si>
  <si>
    <t xml:space="preserve">Buck converter 12 V -&gt; 6 V 5 A</t>
  </si>
  <si>
    <r>
      <rPr>
        <sz val="9.5"/>
        <color rgb="FF1F2937"/>
        <rFont val="Noto Sans SC"/>
        <family val="2"/>
      </rPr>
      <t xml:space="preserve">降壓模組 </t>
    </r>
    <r>
      <rPr>
        <sz val="9.5"/>
        <color rgb="FF1F2937"/>
        <rFont val="Calibri"/>
        <family val="0"/>
        <charset val="1"/>
      </rPr>
      <t xml:space="preserve">12 V -&gt; 6 V 5 A</t>
    </r>
  </si>
  <si>
    <t xml:space="preserve">Servo only; 1000 uF near servo</t>
  </si>
  <si>
    <r>
      <rPr>
        <sz val="9.5"/>
        <color rgb="FF1F2937"/>
        <rFont val="Noto Sans SC"/>
        <family val="2"/>
      </rPr>
      <t xml:space="preserve">只供伺服；伺服旁 </t>
    </r>
    <r>
      <rPr>
        <sz val="9.5"/>
        <color rgb="FF1F2937"/>
        <rFont val="Calibri"/>
        <family val="0"/>
        <charset val="1"/>
      </rPr>
      <t xml:space="preserve">1000 uF</t>
    </r>
  </si>
  <si>
    <t xml:space="preserve">P-05</t>
  </si>
  <si>
    <t xml:space="preserve">Buck converter 12 V -&gt; 5 V 3 A</t>
  </si>
  <si>
    <r>
      <rPr>
        <sz val="9.5"/>
        <color rgb="FF1F2937"/>
        <rFont val="Noto Sans SC"/>
        <family val="2"/>
      </rPr>
      <t xml:space="preserve">降壓模組 </t>
    </r>
    <r>
      <rPr>
        <sz val="9.5"/>
        <color rgb="FF1F2937"/>
        <rFont val="Calibri"/>
        <family val="0"/>
        <charset val="1"/>
      </rPr>
      <t xml:space="preserve">12 V -&gt; 5 V 3 A</t>
    </r>
  </si>
  <si>
    <t xml:space="preserve">LM2596 or similar</t>
  </si>
  <si>
    <t xml:space="preserve">ESP32, sensors, LED bar</t>
  </si>
  <si>
    <r>
      <rPr>
        <sz val="9.5"/>
        <color rgb="FF1F2937"/>
        <rFont val="Calibri"/>
        <family val="0"/>
        <charset val="1"/>
      </rPr>
      <t xml:space="preserve">ESP32</t>
    </r>
    <r>
      <rPr>
        <sz val="9.5"/>
        <color rgb="FF1F2937"/>
        <rFont val="Noto Sans SC"/>
        <family val="2"/>
      </rPr>
      <t xml:space="preserve">、感測器、燈條</t>
    </r>
  </si>
  <si>
    <t xml:space="preserve">P-06</t>
  </si>
  <si>
    <t xml:space="preserve">Fuse holder and 5 A fuses</t>
  </si>
  <si>
    <r>
      <rPr>
        <sz val="9.5"/>
        <color rgb="FF1F2937"/>
        <rFont val="Noto Sans SC"/>
        <family val="2"/>
      </rPr>
      <t xml:space="preserve">保險絲座及 </t>
    </r>
    <r>
      <rPr>
        <sz val="9.5"/>
        <color rgb="FF1F2937"/>
        <rFont val="Calibri"/>
        <family val="0"/>
        <charset val="1"/>
      </rPr>
      <t xml:space="preserve">5 A </t>
    </r>
    <r>
      <rPr>
        <sz val="9.5"/>
        <color rgb="FF1F2937"/>
        <rFont val="Noto Sans SC"/>
        <family val="2"/>
      </rPr>
      <t xml:space="preserve">保險絲</t>
    </r>
  </si>
  <si>
    <t xml:space="preserve">Blade type, inline</t>
  </si>
  <si>
    <t xml:space="preserve">Within 150 mm of battery positive</t>
  </si>
  <si>
    <r>
      <rPr>
        <sz val="9.5"/>
        <color rgb="FF1F2937"/>
        <rFont val="Noto Sans SC"/>
        <family val="2"/>
      </rPr>
      <t xml:space="preserve">電池正極 </t>
    </r>
    <r>
      <rPr>
        <sz val="9.5"/>
        <color rgb="FF1F2937"/>
        <rFont val="Calibri"/>
        <family val="0"/>
        <charset val="1"/>
      </rPr>
      <t xml:space="preserve">150 mm </t>
    </r>
    <r>
      <rPr>
        <sz val="9.5"/>
        <color rgb="FF1F2937"/>
        <rFont val="Noto Sans SC"/>
        <family val="2"/>
      </rPr>
      <t xml:space="preserve">內</t>
    </r>
  </si>
  <si>
    <t xml:space="preserve">P-07</t>
  </si>
  <si>
    <t xml:space="preserve">Power distribution board</t>
  </si>
  <si>
    <t xml:space="preserve">電源分配板</t>
  </si>
  <si>
    <t xml:space="preserve">Screw terminals, busbars</t>
  </si>
  <si>
    <t xml:space="preserve">Star ground point</t>
  </si>
  <si>
    <t xml:space="preserve">星形接地點</t>
  </si>
  <si>
    <t xml:space="preserve">P-08</t>
  </si>
  <si>
    <t xml:space="preserve">12 V relay module</t>
  </si>
  <si>
    <r>
      <rPr>
        <sz val="9.5"/>
        <color rgb="FF1F2937"/>
        <rFont val="Calibri"/>
        <family val="0"/>
        <charset val="1"/>
      </rPr>
      <t xml:space="preserve">12 V </t>
    </r>
    <r>
      <rPr>
        <sz val="9.5"/>
        <color rgb="FF1F2937"/>
        <rFont val="Noto Sans SC"/>
        <family val="2"/>
      </rPr>
      <t xml:space="preserve">繼電器模組</t>
    </r>
  </si>
  <si>
    <t xml:space="preserve">30 A automotive relay, 5 V coil</t>
  </si>
  <si>
    <t xml:space="preserve">Actuator bus controlled by e-stop/ESP32</t>
  </si>
  <si>
    <r>
      <rPr>
        <sz val="9.5"/>
        <color rgb="FF1F2937"/>
        <rFont val="Noto Sans SC"/>
        <family val="2"/>
      </rPr>
      <t xml:space="preserve">急停／</t>
    </r>
    <r>
      <rPr>
        <sz val="9.5"/>
        <color rgb="FF1F2937"/>
        <rFont val="Calibri"/>
        <family val="0"/>
        <charset val="1"/>
      </rPr>
      <t xml:space="preserve">ESP32 </t>
    </r>
    <r>
      <rPr>
        <sz val="9.5"/>
        <color rgb="FF1F2937"/>
        <rFont val="Noto Sans SC"/>
        <family val="2"/>
      </rPr>
      <t xml:space="preserve">控制執行器電源</t>
    </r>
  </si>
  <si>
    <t xml:space="preserve">P-09</t>
  </si>
  <si>
    <t xml:space="preserve">DC jacks, switch, wiring</t>
  </si>
  <si>
    <r>
      <rPr>
        <sz val="9.5"/>
        <color rgb="FF1F2937"/>
        <rFont val="Calibri"/>
        <family val="0"/>
        <charset val="1"/>
      </rPr>
      <t xml:space="preserve">DC </t>
    </r>
    <r>
      <rPr>
        <sz val="9.5"/>
        <color rgb="FF1F2937"/>
        <rFont val="Noto Sans SC"/>
        <family val="2"/>
      </rPr>
      <t xml:space="preserve">插座、開關、線材</t>
    </r>
  </si>
  <si>
    <t xml:space="preserve">18 AWG silicone wire, 2 m red/black</t>
  </si>
  <si>
    <t xml:space="preserve">Current-rated; ferrules on stranded wire</t>
  </si>
  <si>
    <t xml:space="preserve">額定電流；絞線用端子</t>
  </si>
  <si>
    <t xml:space="preserve">A-01</t>
  </si>
  <si>
    <t xml:space="preserve">Assembly</t>
  </si>
  <si>
    <t xml:space="preserve">Perfboard / interface PCB</t>
  </si>
  <si>
    <t xml:space="preserve">洞洞板／介面板</t>
  </si>
  <si>
    <t xml:space="preserve">100 x 150 mm, 2.54 mm pitch</t>
  </si>
  <si>
    <t xml:space="preserve">Electronics shop</t>
  </si>
  <si>
    <t xml:space="preserve">HX711, headers, terminal blocks</t>
  </si>
  <si>
    <r>
      <rPr>
        <sz val="9.5"/>
        <color rgb="FF1F2937"/>
        <rFont val="Calibri"/>
        <family val="0"/>
        <charset val="1"/>
      </rPr>
      <t xml:space="preserve">HX711</t>
    </r>
    <r>
      <rPr>
        <sz val="9.5"/>
        <color rgb="FF1F2937"/>
        <rFont val="Noto Sans SC"/>
        <family val="2"/>
      </rPr>
      <t xml:space="preserve">、排針、接線端子</t>
    </r>
  </si>
  <si>
    <t xml:space="preserve">A-02</t>
  </si>
  <si>
    <t xml:space="preserve">Connectors and ferrules</t>
  </si>
  <si>
    <t xml:space="preserve">連接器及端子</t>
  </si>
  <si>
    <t xml:space="preserve">JST-XH, Dupont, WAGO, ferrules</t>
  </si>
  <si>
    <t xml:space="preserve">Label every cable at both ends</t>
  </si>
  <si>
    <t xml:space="preserve">每條線兩端貼標籤</t>
  </si>
  <si>
    <t xml:space="preserve">A-03</t>
  </si>
  <si>
    <t xml:space="preserve">Shielded load-cell cable</t>
  </si>
  <si>
    <t xml:space="preserve">屏蔽負重線</t>
  </si>
  <si>
    <t xml:space="preserve">4-core shielded, 1 m</t>
  </si>
  <si>
    <t xml:space="preserve">Shield grounded at HX711 end only</t>
  </si>
  <si>
    <r>
      <rPr>
        <sz val="9.5"/>
        <color rgb="FF1F2937"/>
        <rFont val="Noto Sans SC"/>
        <family val="2"/>
      </rPr>
      <t xml:space="preserve">屏蔽僅在 </t>
    </r>
    <r>
      <rPr>
        <sz val="9.5"/>
        <color rgb="FF1F2937"/>
        <rFont val="Calibri"/>
        <family val="0"/>
        <charset val="1"/>
      </rPr>
      <t xml:space="preserve">HX711 </t>
    </r>
    <r>
      <rPr>
        <sz val="9.5"/>
        <color rgb="FF1F2937"/>
        <rFont val="Noto Sans SC"/>
        <family val="2"/>
      </rPr>
      <t xml:space="preserve">端接地</t>
    </r>
  </si>
  <si>
    <t xml:space="preserve">A-04</t>
  </si>
  <si>
    <t xml:space="preserve">Cable glands and spiral wrap</t>
  </si>
  <si>
    <t xml:space="preserve">電纜防水頭及捲線管</t>
  </si>
  <si>
    <t xml:space="preserve">PG7/PG9, 2 m wrap</t>
  </si>
  <si>
    <t xml:space="preserve">Separate mains/battery from signal</t>
  </si>
  <si>
    <t xml:space="preserve">電源與訊號分開</t>
  </si>
  <si>
    <t xml:space="preserve">A-05</t>
  </si>
  <si>
    <t xml:space="preserve">Heat-shrink and sleeving</t>
  </si>
  <si>
    <t xml:space="preserve">熱縮管及套管</t>
  </si>
  <si>
    <t xml:space="preserve">Assorted</t>
  </si>
  <si>
    <t xml:space="preserve">Strain relief and insulation</t>
  </si>
  <si>
    <t xml:space="preserve">應力消除及絕緣</t>
  </si>
  <si>
    <t xml:space="preserve">A-06</t>
  </si>
  <si>
    <t xml:space="preserve">Fan, 40 mm 5 V</t>
  </si>
  <si>
    <r>
      <rPr>
        <sz val="9.5"/>
        <color rgb="FF1F2937"/>
        <rFont val="Calibri"/>
        <family val="0"/>
        <charset val="1"/>
      </rPr>
      <t xml:space="preserve">5 V 40 mm </t>
    </r>
    <r>
      <rPr>
        <sz val="9.5"/>
        <color rgb="FF1F2937"/>
        <rFont val="Noto Sans SC"/>
        <family val="2"/>
      </rPr>
      <t xml:space="preserve">風扇</t>
    </r>
  </si>
  <si>
    <t xml:space="preserve">With filter</t>
  </si>
  <si>
    <t xml:space="preserve">Electronics bay ventilation</t>
  </si>
  <si>
    <t xml:space="preserve">電子倉通風</t>
  </si>
  <si>
    <t xml:space="preserve">A-07</t>
  </si>
  <si>
    <t xml:space="preserve">Acrylic mounting plate</t>
  </si>
  <si>
    <t xml:space="preserve">亞克力安裝板</t>
  </si>
  <si>
    <t xml:space="preserve">3 mm, 300 x 200 mm</t>
  </si>
  <si>
    <t xml:space="preserve">Plastics shop</t>
  </si>
  <si>
    <t xml:space="preserve">Electronics layout</t>
  </si>
  <si>
    <t xml:space="preserve">電子零件排列</t>
  </si>
  <si>
    <t xml:space="preserve">A-08</t>
  </si>
  <si>
    <t xml:space="preserve">Labels and signage</t>
  </si>
  <si>
    <t xml:space="preserve">標籤及標示</t>
  </si>
  <si>
    <t xml:space="preserve">Bilingual bin labels, safety labels, QR code</t>
  </si>
  <si>
    <t xml:space="preserve">Print shop</t>
  </si>
  <si>
    <t xml:space="preserve">Colour + icon + text (accessibility)</t>
  </si>
  <si>
    <t xml:space="preserve">顏色＋圖示＋文字（易讀）</t>
  </si>
  <si>
    <t xml:space="preserve">A-09</t>
  </si>
  <si>
    <t xml:space="preserve">Velcro, tape, cable clips</t>
  </si>
  <si>
    <t xml:space="preserve">魔術貼、膠帶、線夾</t>
  </si>
  <si>
    <t xml:space="preserve">Serviceable mounting</t>
  </si>
  <si>
    <t xml:space="preserve">可維修安裝</t>
  </si>
  <si>
    <t xml:space="preserve">A-10</t>
  </si>
  <si>
    <t xml:space="preserve">Bin liners / cleaning kit</t>
  </si>
  <si>
    <t xml:space="preserve">垃圾桶袋／清潔組</t>
  </si>
  <si>
    <t xml:space="preserve">Compostable liners, wipes, gloves</t>
  </si>
  <si>
    <t xml:space="preserve">Supermarket</t>
  </si>
  <si>
    <t xml:space="preserve">Hygiene and demo readiness</t>
  </si>
  <si>
    <t xml:space="preserve">衛生及演示準備</t>
  </si>
  <si>
    <r>
      <rPr>
        <b val="true"/>
        <sz val="12"/>
        <color rgb="FFFFFFFF"/>
        <rFont val="Calibri"/>
        <family val="0"/>
        <charset val="1"/>
      </rPr>
      <t xml:space="preserve">TOTAL / </t>
    </r>
    <r>
      <rPr>
        <b val="true"/>
        <sz val="12"/>
        <color rgb="FFFFFFFF"/>
        <rFont val="Noto Sans SC"/>
        <family val="2"/>
      </rPr>
      <t xml:space="preserve">合計</t>
    </r>
  </si>
  <si>
    <r>
      <rPr>
        <b val="true"/>
        <sz val="18"/>
        <color rgb="FF1F4E45"/>
        <rFont val="Calibri"/>
        <family val="0"/>
        <charset val="1"/>
      </rPr>
      <t xml:space="preserve">Budget summary / </t>
    </r>
    <r>
      <rPr>
        <b val="true"/>
        <sz val="18"/>
        <color rgb="FF1F4E45"/>
        <rFont val="Noto Sans SC"/>
        <family val="2"/>
      </rPr>
      <t xml:space="preserve">預算摘要</t>
    </r>
  </si>
  <si>
    <t xml:space="preserve">Group totals use SUMIF on the BOM sheet. The total is the same as the BOM total.</t>
  </si>
  <si>
    <t xml:space="preserve">Cost (HKD)</t>
  </si>
  <si>
    <t xml:space="preserve">Share</t>
  </si>
  <si>
    <t xml:space="preserve">Comment</t>
  </si>
  <si>
    <t xml:space="preserve">TOTAL</t>
  </si>
  <si>
    <t xml:space="preserve">Recommended build, before 15% contingency.</t>
  </si>
  <si>
    <t xml:space="preserve">Build tier</t>
  </si>
  <si>
    <t xml:space="preserve">What changes</t>
  </si>
  <si>
    <t xml:space="preserve">Lean</t>
  </si>
  <si>
    <t xml:space="preserve">HC-SR04; 12 V adapter; reuse bins; plywood offcuts; no gas struts; no SHT31/metal kit.</t>
  </si>
  <si>
    <t xml:space="preserve">Recommended</t>
  </si>
  <si>
    <t xml:space="preserve">As listed in the BOM; battery + adapter; 4 × VL53L1X; metal kit; gas struts.</t>
  </si>
  <si>
    <t xml:space="preserve">Enhanced</t>
  </si>
  <si>
    <t xml:space="preserve">Pi 4 2 GB; aluminium frame; spare servo/stepper; better camera; UPS.</t>
  </si>
  <si>
    <t xml:space="preserve">Recommended practice: add 15% contingency for shipping, tax, broken parts and one spare sensor. Keep every receipt for the final report.</t>
  </si>
  <si>
    <t xml:space="preserve">Tools and workshop equipment</t>
  </si>
  <si>
    <t xml:space="preserve">If the lab already has these, budget only for consumables. The fire bag and safety glasses are not optional.</t>
  </si>
  <si>
    <t xml:space="preserve">Tool (EN)</t>
  </si>
  <si>
    <t xml:space="preserve">Tool (ZH)</t>
  </si>
  <si>
    <t xml:space="preserve">T-01</t>
  </si>
  <si>
    <t xml:space="preserve">Soldering iron + stand + solder</t>
  </si>
  <si>
    <t xml:space="preserve">烙鐵＋架＋焊錫</t>
  </si>
  <si>
    <t xml:space="preserve">T-02</t>
  </si>
  <si>
    <t xml:space="preserve">Digital multimeter</t>
  </si>
  <si>
    <t xml:space="preserve">數位萬用表</t>
  </si>
  <si>
    <t xml:space="preserve">T-03</t>
  </si>
  <si>
    <t xml:space="preserve">Wire strippers / crimping tool</t>
  </si>
  <si>
    <t xml:space="preserve">剝線鉗／壓線鉗</t>
  </si>
  <si>
    <t xml:space="preserve">T-04</t>
  </si>
  <si>
    <t xml:space="preserve">Electric drill + bits + hole saw</t>
  </si>
  <si>
    <t xml:space="preserve">電鑽＋鑽頭＋孔鋸</t>
  </si>
  <si>
    <t xml:space="preserve">T-05</t>
  </si>
  <si>
    <t xml:space="preserve">Jigsaw or circular saw</t>
  </si>
  <si>
    <t xml:space="preserve">曲線鋸或圓鋸</t>
  </si>
  <si>
    <t xml:space="preserve">T-06</t>
  </si>
  <si>
    <t xml:space="preserve">Screwdriver and hex key set</t>
  </si>
  <si>
    <t xml:space="preserve">螺絲批及內六角套裝</t>
  </si>
  <si>
    <t xml:space="preserve">T-07</t>
  </si>
  <si>
    <t xml:space="preserve">Digital calipers</t>
  </si>
  <si>
    <t xml:space="preserve">數位卡尺</t>
  </si>
  <si>
    <t xml:space="preserve">T-08</t>
  </si>
  <si>
    <t xml:space="preserve">Hot glue gun</t>
  </si>
  <si>
    <t xml:space="preserve">熱熔膠槍</t>
  </si>
  <si>
    <t xml:space="preserve">T-09</t>
  </si>
  <si>
    <t xml:space="preserve">Safety glasses and gloves</t>
  </si>
  <si>
    <t xml:space="preserve">護目鏡及手套</t>
  </si>
  <si>
    <t xml:space="preserve">T-10</t>
  </si>
  <si>
    <t xml:space="preserve">Li-ion fire bag</t>
  </si>
  <si>
    <t xml:space="preserve">鋰電池防火袋</t>
  </si>
  <si>
    <r>
      <rPr>
        <b val="true"/>
        <sz val="11"/>
        <color rgb="FFFFFFFF"/>
        <rFont val="Calibri"/>
        <family val="0"/>
        <charset val="1"/>
      </rPr>
      <t xml:space="preserve">TOTAL TOOLS / </t>
    </r>
    <r>
      <rPr>
        <b val="true"/>
        <sz val="11"/>
        <color rgb="FFFFFFFF"/>
        <rFont val="Noto Sans SC"/>
        <family val="2"/>
      </rPr>
      <t xml:space="preserve">工具合計</t>
    </r>
  </si>
  <si>
    <t xml:space="preserve">ESP32 pin map</t>
  </si>
  <si>
    <t xml:space="preserve">Authoritative pin schedule for the recommended build. GPIO34-39 are input-only.</t>
  </si>
  <si>
    <t xml:space="preserve">Signal</t>
  </si>
  <si>
    <t xml:space="preserve">ESP32 pin</t>
  </si>
  <si>
    <t xml:space="preserve">Type</t>
  </si>
  <si>
    <t xml:space="preserve">Device / bus</t>
  </si>
  <si>
    <t xml:space="preserve">Notes</t>
  </si>
  <si>
    <t xml:space="preserve">I2C SDA</t>
  </si>
  <si>
    <t xml:space="preserve">GPIO21</t>
  </si>
  <si>
    <t xml:space="preserve">Bidirectional</t>
  </si>
  <si>
    <t xml:space="preserve">SHT31, VL53L0X, 4 x VL53L1X, PCF8574</t>
  </si>
  <si>
    <t xml:space="preserve">4.7 k pull-up to 3.3 V; assign ToF addresses with XSHUT</t>
  </si>
  <si>
    <t xml:space="preserve">I2C SCL</t>
  </si>
  <si>
    <t xml:space="preserve">GPIO22</t>
  </si>
  <si>
    <t xml:space="preserve">Same I2C bus</t>
  </si>
  <si>
    <t xml:space="preserve">Keep leads &lt; 500 mm; twisted pair</t>
  </si>
  <si>
    <t xml:space="preserve">HX711 DOUT</t>
  </si>
  <si>
    <t xml:space="preserve">GPIO32</t>
  </si>
  <si>
    <t xml:space="preserve">Input</t>
  </si>
  <si>
    <t xml:space="preserve">HX711</t>
  </si>
  <si>
    <t xml:space="preserve">10 Hz or 80 Hz; shielded cable</t>
  </si>
  <si>
    <t xml:space="preserve">HX711 SCK</t>
  </si>
  <si>
    <t xml:space="preserve">GPIO33</t>
  </si>
  <si>
    <t xml:space="preserve">Output</t>
  </si>
  <si>
    <t xml:space="preserve">Keep away from stepper wires</t>
  </si>
  <si>
    <t xml:space="preserve">Stepper STEP</t>
  </si>
  <si>
    <t xml:space="preserve">GPIO25</t>
  </si>
  <si>
    <t xml:space="preserve">A4988 STEP</t>
  </si>
  <si>
    <t xml:space="preserve">1/8 microstep; 1200 steps per 90 deg</t>
  </si>
  <si>
    <t xml:space="preserve">Stepper DIR</t>
  </si>
  <si>
    <t xml:space="preserve">GPIO26</t>
  </si>
  <si>
    <t xml:space="preserve">A4988 DIR</t>
  </si>
  <si>
    <t xml:space="preserve">Direction; always approach target clockwise</t>
  </si>
  <si>
    <t xml:space="preserve">Stepper EN</t>
  </si>
  <si>
    <t xml:space="preserve">GPIO27</t>
  </si>
  <si>
    <t xml:space="preserve">A4988 EN</t>
  </si>
  <si>
    <t xml:space="preserve">Active low; disable when idle to reduce heat</t>
  </si>
  <si>
    <t xml:space="preserve">Hopper servo</t>
  </si>
  <si>
    <t xml:space="preserve">GPIO13</t>
  </si>
  <si>
    <t xml:space="preserve">PWM 50 Hz</t>
  </si>
  <si>
    <t xml:space="preserve">DS3225MG signal</t>
  </si>
  <si>
    <t xml:space="preserve">6 V supply; common ground; 1000 uF</t>
  </si>
  <si>
    <t xml:space="preserve">IR receiver</t>
  </si>
  <si>
    <t xml:space="preserve">GPIO35</t>
  </si>
  <si>
    <t xml:space="preserve">Input only</t>
  </si>
  <si>
    <t xml:space="preserve">TSOP38238 OUT</t>
  </si>
  <si>
    <t xml:space="preserve">External 10 k pull-up; 100 nF decoupling</t>
  </si>
  <si>
    <t xml:space="preserve">E-stop status</t>
  </si>
  <si>
    <t xml:space="preserve">GPIO34</t>
  </si>
  <si>
    <t xml:space="preserve">Optocoupler / divider</t>
  </si>
  <si>
    <t xml:space="preserve">External 10 k pull-up; low = pressed</t>
  </si>
  <si>
    <t xml:space="preserve">Front button</t>
  </si>
  <si>
    <t xml:space="preserve">GPIO39</t>
  </si>
  <si>
    <t xml:space="preserve">Push button to GND</t>
  </si>
  <si>
    <t xml:space="preserve">External 10 k pull-up; debounce 30 ms</t>
  </si>
  <si>
    <t xml:space="preserve">WS2812 data</t>
  </si>
  <si>
    <t xml:space="preserve">GPIO2</t>
  </si>
  <si>
    <t xml:space="preserve">LED bar DIN</t>
  </si>
  <si>
    <t xml:space="preserve">330 ohm series; 5 V supply; level 3.3 V works</t>
  </si>
  <si>
    <t xml:space="preserve">Buzzer</t>
  </si>
  <si>
    <t xml:space="preserve">GPIO14</t>
  </si>
  <si>
    <t xml:space="preserve">Active buzzer</t>
  </si>
  <si>
    <t xml:space="preserve">NPN transistor if &gt; 20 mA</t>
  </si>
  <si>
    <t xml:space="preserve">Item ToF XSHUT</t>
  </si>
  <si>
    <t xml:space="preserve">GPIO4</t>
  </si>
  <si>
    <t xml:space="preserve">VL53L0X XSHUT</t>
  </si>
  <si>
    <t xml:space="preserve">Pull low to reset; release after boot</t>
  </si>
  <si>
    <t xml:space="preserve">Bin 1 ToF XSHUT</t>
  </si>
  <si>
    <t xml:space="preserve">GPIO16</t>
  </si>
  <si>
    <t xml:space="preserve">VL53L1X #1</t>
  </si>
  <si>
    <t xml:space="preserve">Assign address 0x30</t>
  </si>
  <si>
    <t xml:space="preserve">Bin 2 ToF XSHUT</t>
  </si>
  <si>
    <t xml:space="preserve">GPIO17</t>
  </si>
  <si>
    <t xml:space="preserve">VL53L1X #2</t>
  </si>
  <si>
    <t xml:space="preserve">Assign address 0x31</t>
  </si>
  <si>
    <t xml:space="preserve">Bin 3 ToF XSHUT</t>
  </si>
  <si>
    <t xml:space="preserve">GPIO18</t>
  </si>
  <si>
    <t xml:space="preserve">VL53L1X #3</t>
  </si>
  <si>
    <t xml:space="preserve">Assign address 0x32</t>
  </si>
  <si>
    <t xml:space="preserve">Bin 4 ToF XSHUT</t>
  </si>
  <si>
    <t xml:space="preserve">GPIO19</t>
  </si>
  <si>
    <t xml:space="preserve">VL53L1X #4</t>
  </si>
  <si>
    <t xml:space="preserve">Assign address 0x33</t>
  </si>
  <si>
    <t xml:space="preserve">PCF8574 INT</t>
  </si>
  <si>
    <t xml:space="preserve">GPIO23</t>
  </si>
  <si>
    <t xml:space="preserve">Optional; polling is acceptable</t>
  </si>
  <si>
    <t xml:space="preserve">Spare / fan</t>
  </si>
  <si>
    <t xml:space="preserve">GPIO12</t>
  </si>
  <si>
    <t xml:space="preserve">Fan MOSFET</t>
  </si>
  <si>
    <t xml:space="preserve">Avoid strapping conflict; fan on during sorting</t>
  </si>
  <si>
    <t xml:space="preserve">Cut list</t>
  </si>
  <si>
    <t xml:space="preserve">Nominal dimensions. Add 1-2 mm clearance; sand to fit. Seal all plywood edges.</t>
  </si>
  <si>
    <t xml:space="preserve">Part</t>
  </si>
  <si>
    <t xml:space="preserve">Material</t>
  </si>
  <si>
    <t xml:space="preserve">Size (mm)</t>
  </si>
  <si>
    <t xml:space="preserve">C-01</t>
  </si>
  <si>
    <t xml:space="preserve">Base panel</t>
  </si>
  <si>
    <t xml:space="preserve">18 mm plywood</t>
  </si>
  <si>
    <t xml:space="preserve">480 x 480</t>
  </si>
  <si>
    <t xml:space="preserve">Electronics bay floor; 20 mm feet</t>
  </si>
  <si>
    <t xml:space="preserve">C-02</t>
  </si>
  <si>
    <t xml:space="preserve">Base front/back</t>
  </si>
  <si>
    <t xml:space="preserve">480 x 100</t>
  </si>
  <si>
    <t xml:space="preserve">Electronics bay; vent holes</t>
  </si>
  <si>
    <t xml:space="preserve">C-03</t>
  </si>
  <si>
    <t xml:space="preserve">Base sides</t>
  </si>
  <si>
    <t xml:space="preserve">444 x 100</t>
  </si>
  <si>
    <t xml:space="preserve">Between front and back</t>
  </si>
  <si>
    <t xml:space="preserve">C-04</t>
  </si>
  <si>
    <t xml:space="preserve">Bin section sides</t>
  </si>
  <si>
    <t xml:space="preserve">480 x 400</t>
  </si>
  <si>
    <t xml:space="preserve">Left/right; drawer opening</t>
  </si>
  <si>
    <t xml:space="preserve">C-05</t>
  </si>
  <si>
    <t xml:space="preserve">Bin section back</t>
  </si>
  <si>
    <t xml:space="preserve">444 x 400</t>
  </si>
  <si>
    <t xml:space="preserve">Fixed back</t>
  </si>
  <si>
    <t xml:space="preserve">C-06</t>
  </si>
  <si>
    <t xml:space="preserve">Bin section top/bottom</t>
  </si>
  <si>
    <t xml:space="preserve">Mid-frame and bin top</t>
  </si>
  <si>
    <t xml:space="preserve">C-07</t>
  </si>
  <si>
    <t xml:space="preserve">Drawer bottom</t>
  </si>
  <si>
    <t xml:space="preserve">456 x 456</t>
  </si>
  <si>
    <t xml:space="preserve">4 bin pockets; 6 mm clearance</t>
  </si>
  <si>
    <t xml:space="preserve">C-08</t>
  </si>
  <si>
    <t xml:space="preserve">Drawer sides</t>
  </si>
  <si>
    <t xml:space="preserve">456 x 360</t>
  </si>
  <si>
    <t xml:space="preserve">Bin retaining walls</t>
  </si>
  <si>
    <t xml:space="preserve">C-09</t>
  </si>
  <si>
    <t xml:space="preserve">Drawer front</t>
  </si>
  <si>
    <t xml:space="preserve">Handle and latch</t>
  </si>
  <si>
    <t xml:space="preserve">C-10</t>
  </si>
  <si>
    <t xml:space="preserve">Hopper sides</t>
  </si>
  <si>
    <t xml:space="preserve">360 x 300</t>
  </si>
  <si>
    <t xml:space="preserve">Support frame; PP liner inside</t>
  </si>
  <si>
    <t xml:space="preserve">C-11</t>
  </si>
  <si>
    <t xml:space="preserve">Hopper front/back</t>
  </si>
  <si>
    <t xml:space="preserve">324 x 300</t>
  </si>
  <si>
    <t xml:space="preserve">Front has door opening</t>
  </si>
  <si>
    <t xml:space="preserve">C-12</t>
  </si>
  <si>
    <t xml:space="preserve">Hopper support plate</t>
  </si>
  <si>
    <t xml:space="preserve">360 x 360</t>
  </si>
  <si>
    <t xml:space="preserve">Rests on 4 load cells; 180 mm center hole</t>
  </si>
  <si>
    <t xml:space="preserve">C-13</t>
  </si>
  <si>
    <t xml:space="preserve">Hopper door</t>
  </si>
  <si>
    <t xml:space="preserve">6 mm PP/plywood</t>
  </si>
  <si>
    <t xml:space="preserve">280 x 240</t>
  </si>
  <si>
    <t xml:space="preserve">Silicone gasket; hinge at back</t>
  </si>
  <si>
    <t xml:space="preserve">C-14</t>
  </si>
  <si>
    <t xml:space="preserve">Lid</t>
  </si>
  <si>
    <t xml:space="preserve">18 mm plywood + 3 mm acrylic</t>
  </si>
  <si>
    <t xml:space="preserve">Camera hole 30 mm; LED ring recess</t>
  </si>
  <si>
    <t xml:space="preserve">C-15</t>
  </si>
  <si>
    <t xml:space="preserve">Mid-frame</t>
  </si>
  <si>
    <t xml:space="preserve">Load cells and spout bearing; 200 mm center hole</t>
  </si>
  <si>
    <t xml:space="preserve">C-16</t>
  </si>
  <si>
    <t xml:space="preserve">Funnel walls</t>
  </si>
  <si>
    <t xml:space="preserve">3 mm PP</t>
  </si>
  <si>
    <t xml:space="preserve">4 pieces, 280 x 150</t>
  </si>
  <si>
    <t xml:space="preserve">60 deg; outlet 110 mm</t>
  </si>
  <si>
    <t xml:space="preserve">C-17</t>
  </si>
  <si>
    <t xml:space="preserve">Spout guard</t>
  </si>
  <si>
    <t xml:space="preserve">300 x 200</t>
  </si>
  <si>
    <t xml:space="preserve">Clear guard around rotating spout</t>
  </si>
  <si>
    <t xml:space="preserve">C-18</t>
  </si>
  <si>
    <t xml:space="preserve">Drip tray</t>
  </si>
  <si>
    <t xml:space="preserve">Removable; 20 mm lip</t>
  </si>
  <si>
    <t xml:space="preserve">24-week build schedule</t>
  </si>
  <si>
    <t xml:space="preserve">Adjust to your actual semester dates. Keep 1-week buffers after assembly, integration and before submission.</t>
  </si>
  <si>
    <t xml:space="preserve">Weeks</t>
  </si>
  <si>
    <t xml:space="preserve">Dates</t>
  </si>
  <si>
    <t xml:space="preserve">Task</t>
  </si>
  <si>
    <t xml:space="preserve">Output / milestone</t>
  </si>
  <si>
    <t xml:space="preserve">1-2</t>
  </si>
  <si>
    <t xml:space="preserve">2-15 Nov 2026</t>
  </si>
  <si>
    <t xml:space="preserve">Finalise design, BOM, order long-lead parts, proposal slides</t>
  </si>
  <si>
    <t xml:space="preserve">Proposal ready</t>
  </si>
  <si>
    <t xml:space="preserve">3-4</t>
  </si>
  <si>
    <t xml:space="preserve">16-29 Nov</t>
  </si>
  <si>
    <t xml:space="preserve">Cut frame/drawer, build bins, bench electronics</t>
  </si>
  <si>
    <t xml:space="preserve">Frame and drawer</t>
  </si>
  <si>
    <t xml:space="preserve">5-6</t>
  </si>
  <si>
    <t xml:space="preserve">30 Nov-13 Dec</t>
  </si>
  <si>
    <t xml:space="preserve">Hopper, door, load cells, spout, bearing</t>
  </si>
  <si>
    <t xml:space="preserve">First mechanical assembly</t>
  </si>
  <si>
    <t xml:space="preserve">7-8</t>
  </si>
  <si>
    <t xml:space="preserve">14-27 Dec</t>
  </si>
  <si>
    <t xml:space="preserve">ESP32 firmware, sensors, stepper/servo, serial protocol</t>
  </si>
  <si>
    <t xml:space="preserve">Subsystems work on bench</t>
  </si>
  <si>
    <t xml:space="preserve">9-10</t>
  </si>
  <si>
    <t xml:space="preserve">28 Dec-10 Jan 2027</t>
  </si>
  <si>
    <t xml:space="preserve">Dataset collection, model training, interim report</t>
  </si>
  <si>
    <t xml:space="preserve">Interim report 1st submission</t>
  </si>
  <si>
    <t xml:space="preserve">11-12</t>
  </si>
  <si>
    <t xml:space="preserve">11-24 Jan</t>
  </si>
  <si>
    <t xml:space="preserve">Integrate vision, first end-to-end sort</t>
  </si>
  <si>
    <t xml:space="preserve">First automatic sort</t>
  </si>
  <si>
    <t xml:space="preserve">13-14</t>
  </si>
  <si>
    <t xml:space="preserve">25 Jan-7 Feb</t>
  </si>
  <si>
    <t xml:space="preserve">Calibration, 4-class test, fix jams</t>
  </si>
  <si>
    <t xml:space="preserve">50% target accuracy</t>
  </si>
  <si>
    <t xml:space="preserve">15-16</t>
  </si>
  <si>
    <t xml:space="preserve">8-21 Feb</t>
  </si>
  <si>
    <t xml:space="preserve">PWA, bin levels, cloud, progress review prep</t>
  </si>
  <si>
    <t xml:space="preserve">App dashboard</t>
  </si>
  <si>
    <t xml:space="preserve">17-18</t>
  </si>
  <si>
    <t xml:space="preserve">22 Feb-7 Mar</t>
  </si>
  <si>
    <t xml:space="preserve">50-item test, reliability, safety, video</t>
  </si>
  <si>
    <t xml:space="preserve">Test report v1</t>
  </si>
  <si>
    <t xml:space="preserve">19-20</t>
  </si>
  <si>
    <t xml:space="preserve">8-21 Mar</t>
  </si>
  <si>
    <t xml:space="preserve">Refinement, enclosure, labels, user test</t>
  </si>
  <si>
    <t xml:space="preserve">Demo-ready</t>
  </si>
  <si>
    <t xml:space="preserve">21-22</t>
  </si>
  <si>
    <t xml:space="preserve">22 Mar-4 Apr</t>
  </si>
  <si>
    <t xml:space="preserve">Final testing, report draft, poster</t>
  </si>
  <si>
    <t xml:space="preserve">Report draft</t>
  </si>
  <si>
    <t xml:space="preserve">23-24</t>
  </si>
  <si>
    <t xml:space="preserve">5-18 Apr</t>
  </si>
  <si>
    <t xml:space="preserve">Final report, video, presentation, buffer</t>
  </si>
  <si>
    <t xml:space="preserve">Submission ready</t>
  </si>
  <si>
    <t xml:space="preserve">-</t>
  </si>
  <si>
    <t xml:space="preserve">27 Apr 2027</t>
  </si>
  <si>
    <t xml:space="preserve">Final deadline</t>
  </si>
  <si>
    <t xml:space="preserve">Submit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</si>
</sst>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45"/>
      <name val="Calibri"/>
      <family val="0"/>
      <charset val="1"/>
    </font>
    <font>
      <b val="true"/>
      <sz val="14"/>
      <color rgb="FF40796A"/>
      <name val="Noto Sans SC"/>
      <family val="2"/>
    </font>
    <font>
      <sz val="10"/>
      <color rgb="FF5A6778"/>
      <name val="Calibri"/>
      <family val="0"/>
      <charset val="1"/>
    </font>
    <font>
      <b val="true"/>
      <sz val="10"/>
      <color rgb="FF1F4E45"/>
      <name val="Calibri"/>
      <family val="0"/>
      <charset val="1"/>
    </font>
    <font>
      <sz val="10"/>
      <color rgb="FF1F2937"/>
      <name val="Calibri"/>
      <family val="0"/>
      <charset val="1"/>
    </font>
    <font>
      <sz val="9.5"/>
      <color rgb="FF1F2937"/>
      <name val="Calibri"/>
      <family val="0"/>
      <charset val="1"/>
    </font>
    <font>
      <b val="true"/>
      <sz val="18"/>
      <color rgb="FF1F4E4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.5"/>
      <color rgb="FF1F2937"/>
      <name val="Noto Sans SC"/>
      <family val="2"/>
    </font>
    <font>
      <b val="true"/>
      <sz val="9.5"/>
      <color rgb="FF1F293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Noto Sans SC"/>
      <family val="2"/>
    </font>
    <font>
      <b val="true"/>
      <sz val="18"/>
      <color rgb="FF1F4E45"/>
      <name val="Noto Sans SC"/>
      <family val="2"/>
    </font>
    <font>
      <i val="true"/>
      <sz val="9"/>
      <color rgb="FFB03A3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45"/>
        <bgColor rgb="FF1F2937"/>
      </patternFill>
    </fill>
    <fill>
      <patternFill patternType="solid">
        <fgColor rgb="FFF7F9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45"/>
          <bgColor rgb="FF000000"/>
        </patternFill>
      </fill>
    </dxf>
    <dxf>
      <fill>
        <patternFill patternType="solid">
          <fgColor rgb="FFF7F9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03A3A"/>
      <rgbColor rgb="FFFFF2CC"/>
      <rgbColor rgb="FFF7F9F8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8"/>
      <rgbColor rgb="FF969696"/>
      <rgbColor rgb="FF1F4E45"/>
      <rgbColor rgb="FF40796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90"/>
    <col collapsed="false" customWidth="true" hidden="false" outlineLevel="0" max="4" min="4" style="0" width="20"/>
  </cols>
  <sheetData>
    <row r="2" customFormat="false" ht="33.75" hidden="false" customHeight="true" outlineLevel="0" collapsed="false">
      <c r="B2" s="1" t="s">
        <v>0</v>
      </c>
      <c r="C2" s="1"/>
      <c r="D2" s="1"/>
    </row>
    <row r="3" customFormat="false" ht="17.35" hidden="false" customHeight="false" outlineLevel="0" collapsed="false">
      <c r="B3" s="2" t="s">
        <v>1</v>
      </c>
      <c r="C3" s="2"/>
      <c r="D3" s="2"/>
    </row>
    <row r="4" customFormat="false" ht="15" hidden="false" customHeight="false" outlineLevel="0" collapsed="false">
      <c r="B4" s="3" t="s">
        <v>2</v>
      </c>
      <c r="C4" s="3"/>
      <c r="D4" s="3"/>
    </row>
    <row r="6" customFormat="false" ht="31.5" hidden="false" customHeight="true" outlineLevel="0" collapsed="false">
      <c r="B6" s="4" t="s">
        <v>3</v>
      </c>
      <c r="C6" s="5" t="s">
        <v>4</v>
      </c>
      <c r="D6" s="5"/>
    </row>
    <row r="7" customFormat="false" ht="31.5" hidden="false" customHeight="true" outlineLevel="0" collapsed="false">
      <c r="B7" s="4" t="s">
        <v>5</v>
      </c>
      <c r="C7" s="5" t="s">
        <v>6</v>
      </c>
      <c r="D7" s="5"/>
    </row>
    <row r="8" customFormat="false" ht="31.5" hidden="false" customHeight="true" outlineLevel="0" collapsed="false">
      <c r="B8" s="4" t="s">
        <v>7</v>
      </c>
      <c r="C8" s="5" t="s">
        <v>8</v>
      </c>
      <c r="D8" s="5"/>
    </row>
    <row r="9" customFormat="false" ht="31.5" hidden="false" customHeight="true" outlineLevel="0" collapsed="false">
      <c r="B9" s="4" t="s">
        <v>9</v>
      </c>
      <c r="C9" s="5" t="s">
        <v>10</v>
      </c>
      <c r="D9" s="5"/>
    </row>
    <row r="10" customFormat="false" ht="31.5" hidden="false" customHeight="true" outlineLevel="0" collapsed="false">
      <c r="B10" s="4" t="s">
        <v>11</v>
      </c>
      <c r="C10" s="5" t="s">
        <v>12</v>
      </c>
      <c r="D10" s="5"/>
    </row>
    <row r="11" customFormat="false" ht="31.5" hidden="false" customHeight="true" outlineLevel="0" collapsed="false">
      <c r="B11" s="4" t="s">
        <v>13</v>
      </c>
      <c r="C11" s="5" t="s">
        <v>14</v>
      </c>
      <c r="D11" s="5"/>
    </row>
    <row r="12" customFormat="false" ht="31.5" hidden="false" customHeight="true" outlineLevel="0" collapsed="false">
      <c r="B12" s="4" t="s">
        <v>15</v>
      </c>
      <c r="C12" s="5" t="s">
        <v>16</v>
      </c>
      <c r="D12" s="5"/>
    </row>
    <row r="13" customFormat="false" ht="31.5" hidden="false" customHeight="true" outlineLevel="0" collapsed="false">
      <c r="B13" s="4" t="s">
        <v>17</v>
      </c>
      <c r="C13" s="5" t="s">
        <v>18</v>
      </c>
      <c r="D13" s="5"/>
    </row>
    <row r="15" customFormat="false" ht="15" hidden="false" customHeight="false" outlineLevel="0" collapsed="false">
      <c r="B15" s="4" t="s">
        <v>19</v>
      </c>
      <c r="C15" s="6" t="s">
        <v>20</v>
      </c>
    </row>
  </sheetData>
  <mergeCells count="11">
    <mergeCell ref="B2:D2"/>
    <mergeCell ref="B3:D3"/>
    <mergeCell ref="B4:D4"/>
    <mergeCell ref="C6:D6"/>
    <mergeCell ref="C7:D7"/>
    <mergeCell ref="C8:D8"/>
    <mergeCell ref="C9:D9"/>
    <mergeCell ref="C10:D10"/>
    <mergeCell ref="C11:D11"/>
    <mergeCell ref="C12:D12"/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6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1" min="10" style="0" width="44"/>
    <col collapsed="false" customWidth="true" hidden="false" outlineLevel="0" max="12" min="12" style="0" width="9"/>
  </cols>
  <sheetData>
    <row r="1" customFormat="false" ht="30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30" hidden="false" customHeight="true" outlineLevel="0" collapsed="false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customFormat="false" ht="15" hidden="false" customHeight="false" outlineLevel="0" collapsed="false">
      <c r="A4" s="9" t="s">
        <v>23</v>
      </c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9" t="s">
        <v>33</v>
      </c>
      <c r="L4" s="9" t="s">
        <v>19</v>
      </c>
    </row>
    <row r="5" customFormat="false" ht="15" hidden="false" customHeight="false" outlineLevel="0" collapsed="false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38</v>
      </c>
      <c r="F5" s="11" t="n">
        <v>1</v>
      </c>
      <c r="G5" s="12" t="n">
        <v>380</v>
      </c>
      <c r="H5" s="13" t="n">
        <f aca="false">F5*G5</f>
        <v>380</v>
      </c>
      <c r="I5" s="10" t="s">
        <v>39</v>
      </c>
      <c r="J5" s="10" t="s">
        <v>40</v>
      </c>
      <c r="K5" s="14" t="s">
        <v>41</v>
      </c>
      <c r="L5" s="11" t="s">
        <v>42</v>
      </c>
    </row>
    <row r="6" customFormat="false" ht="20.85" hidden="false" customHeight="false" outlineLevel="0" collapsed="false">
      <c r="A6" s="15" t="s">
        <v>43</v>
      </c>
      <c r="B6" s="15" t="s">
        <v>35</v>
      </c>
      <c r="C6" s="15" t="s">
        <v>44</v>
      </c>
      <c r="D6" s="15" t="s">
        <v>45</v>
      </c>
      <c r="E6" s="15" t="s">
        <v>46</v>
      </c>
      <c r="F6" s="16" t="n">
        <v>4</v>
      </c>
      <c r="G6" s="17" t="n">
        <v>45</v>
      </c>
      <c r="H6" s="18" t="n">
        <f aca="false">F6*G6</f>
        <v>180</v>
      </c>
      <c r="I6" s="15" t="s">
        <v>47</v>
      </c>
      <c r="J6" s="15" t="s">
        <v>48</v>
      </c>
      <c r="K6" s="19" t="s">
        <v>49</v>
      </c>
      <c r="L6" s="16" t="s">
        <v>42</v>
      </c>
    </row>
    <row r="7" customFormat="false" ht="15" hidden="false" customHeight="false" outlineLevel="0" collapsed="false">
      <c r="A7" s="10" t="s">
        <v>50</v>
      </c>
      <c r="B7" s="10" t="s">
        <v>35</v>
      </c>
      <c r="C7" s="10" t="s">
        <v>51</v>
      </c>
      <c r="D7" s="14" t="s">
        <v>52</v>
      </c>
      <c r="E7" s="10" t="s">
        <v>53</v>
      </c>
      <c r="F7" s="11" t="n">
        <v>2</v>
      </c>
      <c r="G7" s="12" t="n">
        <v>25</v>
      </c>
      <c r="H7" s="13" t="n">
        <f aca="false">F7*G7</f>
        <v>50</v>
      </c>
      <c r="I7" s="10" t="s">
        <v>54</v>
      </c>
      <c r="J7" s="10" t="s">
        <v>55</v>
      </c>
      <c r="K7" s="14" t="s">
        <v>56</v>
      </c>
      <c r="L7" s="11" t="s">
        <v>42</v>
      </c>
    </row>
    <row r="8" customFormat="false" ht="15" hidden="false" customHeight="false" outlineLevel="0" collapsed="false">
      <c r="A8" s="15" t="s">
        <v>57</v>
      </c>
      <c r="B8" s="15" t="s">
        <v>35</v>
      </c>
      <c r="C8" s="15" t="s">
        <v>58</v>
      </c>
      <c r="D8" s="19" t="s">
        <v>59</v>
      </c>
      <c r="E8" s="15" t="s">
        <v>60</v>
      </c>
      <c r="F8" s="16" t="n">
        <v>2</v>
      </c>
      <c r="G8" s="17" t="n">
        <v>60</v>
      </c>
      <c r="H8" s="18" t="n">
        <f aca="false">F8*G8</f>
        <v>120</v>
      </c>
      <c r="I8" s="15" t="s">
        <v>54</v>
      </c>
      <c r="J8" s="15" t="s">
        <v>61</v>
      </c>
      <c r="K8" s="19" t="s">
        <v>62</v>
      </c>
      <c r="L8" s="16" t="s">
        <v>42</v>
      </c>
    </row>
    <row r="9" customFormat="false" ht="15" hidden="false" customHeight="false" outlineLevel="0" collapsed="false">
      <c r="A9" s="10" t="s">
        <v>63</v>
      </c>
      <c r="B9" s="10" t="s">
        <v>35</v>
      </c>
      <c r="C9" s="10" t="s">
        <v>64</v>
      </c>
      <c r="D9" s="14" t="s">
        <v>65</v>
      </c>
      <c r="E9" s="10" t="s">
        <v>66</v>
      </c>
      <c r="F9" s="11" t="n">
        <v>2</v>
      </c>
      <c r="G9" s="12" t="n">
        <v>40</v>
      </c>
      <c r="H9" s="13" t="n">
        <f aca="false">F9*G9</f>
        <v>80</v>
      </c>
      <c r="I9" s="10" t="s">
        <v>54</v>
      </c>
      <c r="J9" s="10" t="s">
        <v>67</v>
      </c>
      <c r="K9" s="14" t="s">
        <v>68</v>
      </c>
      <c r="L9" s="11" t="s">
        <v>42</v>
      </c>
    </row>
    <row r="10" customFormat="false" ht="15" hidden="false" customHeight="false" outlineLevel="0" collapsed="false">
      <c r="A10" s="15" t="s">
        <v>69</v>
      </c>
      <c r="B10" s="15" t="s">
        <v>35</v>
      </c>
      <c r="C10" s="15" t="s">
        <v>70</v>
      </c>
      <c r="D10" s="19" t="s">
        <v>71</v>
      </c>
      <c r="E10" s="15" t="s">
        <v>72</v>
      </c>
      <c r="F10" s="16" t="n">
        <v>4</v>
      </c>
      <c r="G10" s="17" t="n">
        <v>5</v>
      </c>
      <c r="H10" s="18" t="n">
        <f aca="false">F10*G10</f>
        <v>20</v>
      </c>
      <c r="I10" s="15" t="s">
        <v>54</v>
      </c>
      <c r="J10" s="15" t="s">
        <v>73</v>
      </c>
      <c r="K10" s="19" t="s">
        <v>74</v>
      </c>
      <c r="L10" s="16" t="s">
        <v>42</v>
      </c>
    </row>
    <row r="11" customFormat="false" ht="15" hidden="false" customHeight="false" outlineLevel="0" collapsed="false">
      <c r="A11" s="10" t="s">
        <v>75</v>
      </c>
      <c r="B11" s="10" t="s">
        <v>35</v>
      </c>
      <c r="C11" s="10" t="s">
        <v>76</v>
      </c>
      <c r="D11" s="14" t="s">
        <v>77</v>
      </c>
      <c r="E11" s="10" t="s">
        <v>78</v>
      </c>
      <c r="F11" s="11" t="n">
        <v>1</v>
      </c>
      <c r="G11" s="12" t="n">
        <v>150</v>
      </c>
      <c r="H11" s="13" t="n">
        <f aca="false">F11*G11</f>
        <v>150</v>
      </c>
      <c r="I11" s="10" t="s">
        <v>54</v>
      </c>
      <c r="J11" s="10" t="s">
        <v>79</v>
      </c>
      <c r="K11" s="14" t="s">
        <v>80</v>
      </c>
      <c r="L11" s="11" t="s">
        <v>42</v>
      </c>
    </row>
    <row r="12" customFormat="false" ht="15" hidden="false" customHeight="false" outlineLevel="0" collapsed="false">
      <c r="A12" s="15" t="s">
        <v>81</v>
      </c>
      <c r="B12" s="15" t="s">
        <v>35</v>
      </c>
      <c r="C12" s="15" t="s">
        <v>82</v>
      </c>
      <c r="D12" s="19" t="s">
        <v>83</v>
      </c>
      <c r="E12" s="15" t="s">
        <v>84</v>
      </c>
      <c r="F12" s="16" t="n">
        <v>1</v>
      </c>
      <c r="G12" s="17" t="n">
        <v>30</v>
      </c>
      <c r="H12" s="18" t="n">
        <f aca="false">F12*G12</f>
        <v>30</v>
      </c>
      <c r="I12" s="15" t="s">
        <v>54</v>
      </c>
      <c r="J12" s="15" t="s">
        <v>85</v>
      </c>
      <c r="K12" s="19" t="s">
        <v>86</v>
      </c>
      <c r="L12" s="16" t="s">
        <v>42</v>
      </c>
    </row>
    <row r="13" customFormat="false" ht="15" hidden="false" customHeight="false" outlineLevel="0" collapsed="false">
      <c r="A13" s="10" t="s">
        <v>87</v>
      </c>
      <c r="B13" s="10" t="s">
        <v>35</v>
      </c>
      <c r="C13" s="10" t="s">
        <v>88</v>
      </c>
      <c r="D13" s="10" t="s">
        <v>89</v>
      </c>
      <c r="E13" s="10" t="s">
        <v>90</v>
      </c>
      <c r="F13" s="11" t="n">
        <v>4</v>
      </c>
      <c r="G13" s="12" t="n">
        <v>40</v>
      </c>
      <c r="H13" s="13" t="n">
        <f aca="false">F13*G13</f>
        <v>160</v>
      </c>
      <c r="I13" s="10" t="s">
        <v>91</v>
      </c>
      <c r="J13" s="10" t="s">
        <v>92</v>
      </c>
      <c r="K13" s="14" t="s">
        <v>93</v>
      </c>
      <c r="L13" s="11" t="s">
        <v>42</v>
      </c>
    </row>
    <row r="14" customFormat="false" ht="15" hidden="false" customHeight="false" outlineLevel="0" collapsed="false">
      <c r="A14" s="15" t="s">
        <v>94</v>
      </c>
      <c r="B14" s="15" t="s">
        <v>35</v>
      </c>
      <c r="C14" s="15" t="s">
        <v>95</v>
      </c>
      <c r="D14" s="15" t="s">
        <v>96</v>
      </c>
      <c r="E14" s="15" t="s">
        <v>97</v>
      </c>
      <c r="F14" s="16" t="n">
        <v>1</v>
      </c>
      <c r="G14" s="17" t="n">
        <v>120</v>
      </c>
      <c r="H14" s="18" t="n">
        <f aca="false">F14*G14</f>
        <v>120</v>
      </c>
      <c r="I14" s="15" t="s">
        <v>98</v>
      </c>
      <c r="J14" s="15" t="s">
        <v>99</v>
      </c>
      <c r="K14" s="19" t="s">
        <v>100</v>
      </c>
      <c r="L14" s="16" t="s">
        <v>42</v>
      </c>
    </row>
    <row r="15" customFormat="false" ht="15" hidden="false" customHeight="false" outlineLevel="0" collapsed="false">
      <c r="A15" s="10" t="s">
        <v>101</v>
      </c>
      <c r="B15" s="10" t="s">
        <v>35</v>
      </c>
      <c r="C15" s="10" t="s">
        <v>102</v>
      </c>
      <c r="D15" s="14" t="s">
        <v>103</v>
      </c>
      <c r="E15" s="10" t="s">
        <v>104</v>
      </c>
      <c r="F15" s="11" t="n">
        <v>1</v>
      </c>
      <c r="G15" s="12" t="n">
        <v>60</v>
      </c>
      <c r="H15" s="13" t="n">
        <f aca="false">F15*G15</f>
        <v>60</v>
      </c>
      <c r="I15" s="10" t="s">
        <v>54</v>
      </c>
      <c r="J15" s="10" t="s">
        <v>105</v>
      </c>
      <c r="K15" s="14" t="s">
        <v>106</v>
      </c>
      <c r="L15" s="11" t="s">
        <v>42</v>
      </c>
    </row>
    <row r="16" customFormat="false" ht="15" hidden="false" customHeight="false" outlineLevel="0" collapsed="false">
      <c r="A16" s="15" t="s">
        <v>107</v>
      </c>
      <c r="B16" s="15" t="s">
        <v>35</v>
      </c>
      <c r="C16" s="15" t="s">
        <v>108</v>
      </c>
      <c r="D16" s="19" t="s">
        <v>109</v>
      </c>
      <c r="E16" s="15" t="s">
        <v>110</v>
      </c>
      <c r="F16" s="16" t="n">
        <v>1</v>
      </c>
      <c r="G16" s="17" t="n">
        <v>45</v>
      </c>
      <c r="H16" s="18" t="n">
        <f aca="false">F16*G16</f>
        <v>45</v>
      </c>
      <c r="I16" s="15" t="s">
        <v>54</v>
      </c>
      <c r="J16" s="15" t="s">
        <v>111</v>
      </c>
      <c r="K16" s="19" t="s">
        <v>112</v>
      </c>
      <c r="L16" s="16" t="s">
        <v>42</v>
      </c>
    </row>
    <row r="17" customFormat="false" ht="15" hidden="false" customHeight="false" outlineLevel="0" collapsed="false">
      <c r="A17" s="10" t="s">
        <v>113</v>
      </c>
      <c r="B17" s="10" t="s">
        <v>114</v>
      </c>
      <c r="C17" s="10" t="s">
        <v>115</v>
      </c>
      <c r="D17" s="10" t="s">
        <v>116</v>
      </c>
      <c r="E17" s="10" t="s">
        <v>117</v>
      </c>
      <c r="F17" s="11" t="n">
        <v>1</v>
      </c>
      <c r="G17" s="12" t="n">
        <v>85</v>
      </c>
      <c r="H17" s="13" t="n">
        <f aca="false">F17*G17</f>
        <v>85</v>
      </c>
      <c r="I17" s="10" t="s">
        <v>118</v>
      </c>
      <c r="J17" s="10" t="s">
        <v>119</v>
      </c>
      <c r="K17" s="14" t="s">
        <v>120</v>
      </c>
      <c r="L17" s="11" t="s">
        <v>42</v>
      </c>
    </row>
    <row r="18" customFormat="false" ht="15" hidden="false" customHeight="false" outlineLevel="0" collapsed="false">
      <c r="A18" s="15" t="s">
        <v>121</v>
      </c>
      <c r="B18" s="15" t="s">
        <v>114</v>
      </c>
      <c r="C18" s="15" t="s">
        <v>122</v>
      </c>
      <c r="D18" s="15" t="s">
        <v>123</v>
      </c>
      <c r="E18" s="15" t="s">
        <v>124</v>
      </c>
      <c r="F18" s="16" t="n">
        <v>1</v>
      </c>
      <c r="G18" s="17" t="n">
        <v>20</v>
      </c>
      <c r="H18" s="18" t="n">
        <f aca="false">F18*G18</f>
        <v>20</v>
      </c>
      <c r="I18" s="15" t="s">
        <v>125</v>
      </c>
      <c r="J18" s="15" t="s">
        <v>126</v>
      </c>
      <c r="K18" s="15" t="s">
        <v>127</v>
      </c>
      <c r="L18" s="16" t="s">
        <v>42</v>
      </c>
    </row>
    <row r="19" customFormat="false" ht="15" hidden="false" customHeight="false" outlineLevel="0" collapsed="false">
      <c r="A19" s="10" t="s">
        <v>128</v>
      </c>
      <c r="B19" s="10" t="s">
        <v>114</v>
      </c>
      <c r="C19" s="10" t="s">
        <v>129</v>
      </c>
      <c r="D19" s="10" t="s">
        <v>130</v>
      </c>
      <c r="E19" s="10" t="s">
        <v>131</v>
      </c>
      <c r="F19" s="11" t="n">
        <v>1</v>
      </c>
      <c r="G19" s="12" t="n">
        <v>55</v>
      </c>
      <c r="H19" s="13" t="n">
        <f aca="false">F19*G19</f>
        <v>55</v>
      </c>
      <c r="I19" s="10" t="s">
        <v>125</v>
      </c>
      <c r="J19" s="10" t="s">
        <v>132</v>
      </c>
      <c r="K19" s="10" t="s">
        <v>133</v>
      </c>
      <c r="L19" s="11" t="s">
        <v>42</v>
      </c>
    </row>
    <row r="20" customFormat="false" ht="15" hidden="false" customHeight="false" outlineLevel="0" collapsed="false">
      <c r="A20" s="15" t="s">
        <v>134</v>
      </c>
      <c r="B20" s="15" t="s">
        <v>114</v>
      </c>
      <c r="C20" s="15" t="s">
        <v>135</v>
      </c>
      <c r="D20" s="19" t="s">
        <v>136</v>
      </c>
      <c r="E20" s="15" t="s">
        <v>137</v>
      </c>
      <c r="F20" s="16" t="n">
        <v>1</v>
      </c>
      <c r="G20" s="17" t="n">
        <v>30</v>
      </c>
      <c r="H20" s="18" t="n">
        <f aca="false">F20*G20</f>
        <v>30</v>
      </c>
      <c r="I20" s="15" t="s">
        <v>54</v>
      </c>
      <c r="J20" s="15" t="s">
        <v>138</v>
      </c>
      <c r="K20" s="19" t="s">
        <v>139</v>
      </c>
      <c r="L20" s="16" t="s">
        <v>42</v>
      </c>
    </row>
    <row r="21" customFormat="false" ht="15" hidden="false" customHeight="false" outlineLevel="0" collapsed="false">
      <c r="A21" s="10" t="s">
        <v>140</v>
      </c>
      <c r="B21" s="10" t="s">
        <v>114</v>
      </c>
      <c r="C21" s="10" t="s">
        <v>141</v>
      </c>
      <c r="D21" s="10" t="s">
        <v>142</v>
      </c>
      <c r="E21" s="10" t="s">
        <v>143</v>
      </c>
      <c r="F21" s="11" t="n">
        <v>4</v>
      </c>
      <c r="G21" s="12" t="n">
        <v>5</v>
      </c>
      <c r="H21" s="13" t="n">
        <f aca="false">F21*G21</f>
        <v>20</v>
      </c>
      <c r="I21" s="10" t="s">
        <v>54</v>
      </c>
      <c r="J21" s="10" t="s">
        <v>144</v>
      </c>
      <c r="K21" s="14" t="s">
        <v>145</v>
      </c>
      <c r="L21" s="11" t="s">
        <v>42</v>
      </c>
    </row>
    <row r="22" customFormat="false" ht="15" hidden="false" customHeight="false" outlineLevel="0" collapsed="false">
      <c r="A22" s="15" t="s">
        <v>146</v>
      </c>
      <c r="B22" s="15" t="s">
        <v>114</v>
      </c>
      <c r="C22" s="15" t="s">
        <v>147</v>
      </c>
      <c r="D22" s="19" t="s">
        <v>148</v>
      </c>
      <c r="E22" s="15" t="s">
        <v>149</v>
      </c>
      <c r="F22" s="16" t="n">
        <v>1</v>
      </c>
      <c r="G22" s="17" t="n">
        <v>95</v>
      </c>
      <c r="H22" s="18" t="n">
        <f aca="false">F22*G22</f>
        <v>95</v>
      </c>
      <c r="I22" s="15" t="s">
        <v>150</v>
      </c>
      <c r="J22" s="15" t="s">
        <v>151</v>
      </c>
      <c r="K22" s="19" t="s">
        <v>152</v>
      </c>
      <c r="L22" s="16" t="s">
        <v>42</v>
      </c>
    </row>
    <row r="23" customFormat="false" ht="15" hidden="false" customHeight="false" outlineLevel="0" collapsed="false">
      <c r="A23" s="10" t="s">
        <v>153</v>
      </c>
      <c r="B23" s="10" t="s">
        <v>114</v>
      </c>
      <c r="C23" s="10" t="s">
        <v>154</v>
      </c>
      <c r="D23" s="14" t="s">
        <v>155</v>
      </c>
      <c r="E23" s="10" t="s">
        <v>156</v>
      </c>
      <c r="F23" s="11" t="n">
        <v>1</v>
      </c>
      <c r="G23" s="12" t="n">
        <v>35</v>
      </c>
      <c r="H23" s="13" t="n">
        <f aca="false">F23*G23</f>
        <v>35</v>
      </c>
      <c r="I23" s="10" t="s">
        <v>54</v>
      </c>
      <c r="J23" s="10" t="s">
        <v>157</v>
      </c>
      <c r="K23" s="14" t="s">
        <v>158</v>
      </c>
      <c r="L23" s="11" t="s">
        <v>42</v>
      </c>
    </row>
    <row r="24" customFormat="false" ht="15" hidden="false" customHeight="false" outlineLevel="0" collapsed="false">
      <c r="A24" s="15" t="s">
        <v>159</v>
      </c>
      <c r="B24" s="15" t="s">
        <v>114</v>
      </c>
      <c r="C24" s="15" t="s">
        <v>160</v>
      </c>
      <c r="D24" s="15" t="s">
        <v>161</v>
      </c>
      <c r="E24" s="15" t="s">
        <v>162</v>
      </c>
      <c r="F24" s="16" t="n">
        <v>1</v>
      </c>
      <c r="G24" s="17" t="n">
        <v>40</v>
      </c>
      <c r="H24" s="18" t="n">
        <f aca="false">F24*G24</f>
        <v>40</v>
      </c>
      <c r="I24" s="15" t="s">
        <v>163</v>
      </c>
      <c r="J24" s="15" t="s">
        <v>164</v>
      </c>
      <c r="K24" s="19" t="s">
        <v>165</v>
      </c>
      <c r="L24" s="16" t="s">
        <v>42</v>
      </c>
    </row>
    <row r="25" customFormat="false" ht="15" hidden="false" customHeight="false" outlineLevel="0" collapsed="false">
      <c r="A25" s="10" t="s">
        <v>166</v>
      </c>
      <c r="B25" s="10" t="s">
        <v>114</v>
      </c>
      <c r="C25" s="10" t="s">
        <v>167</v>
      </c>
      <c r="D25" s="14" t="s">
        <v>168</v>
      </c>
      <c r="E25" s="10" t="s">
        <v>169</v>
      </c>
      <c r="F25" s="11" t="n">
        <v>1</v>
      </c>
      <c r="G25" s="12" t="n">
        <v>60</v>
      </c>
      <c r="H25" s="13" t="n">
        <f aca="false">F25*G25</f>
        <v>60</v>
      </c>
      <c r="I25" s="10" t="s">
        <v>170</v>
      </c>
      <c r="J25" s="10" t="s">
        <v>171</v>
      </c>
      <c r="K25" s="10" t="s">
        <v>172</v>
      </c>
      <c r="L25" s="11" t="s">
        <v>42</v>
      </c>
    </row>
    <row r="26" customFormat="false" ht="15" hidden="false" customHeight="false" outlineLevel="0" collapsed="false">
      <c r="A26" s="15" t="s">
        <v>173</v>
      </c>
      <c r="B26" s="15" t="s">
        <v>114</v>
      </c>
      <c r="C26" s="15" t="s">
        <v>174</v>
      </c>
      <c r="D26" s="19" t="s">
        <v>175</v>
      </c>
      <c r="E26" s="15" t="s">
        <v>176</v>
      </c>
      <c r="F26" s="16" t="n">
        <v>3</v>
      </c>
      <c r="G26" s="17" t="n">
        <v>10</v>
      </c>
      <c r="H26" s="18" t="n">
        <f aca="false">F26*G26</f>
        <v>30</v>
      </c>
      <c r="I26" s="15" t="s">
        <v>125</v>
      </c>
      <c r="J26" s="15" t="s">
        <v>177</v>
      </c>
      <c r="K26" s="19" t="s">
        <v>178</v>
      </c>
      <c r="L26" s="16" t="s">
        <v>42</v>
      </c>
    </row>
    <row r="27" customFormat="false" ht="15" hidden="false" customHeight="false" outlineLevel="0" collapsed="false">
      <c r="A27" s="10" t="s">
        <v>179</v>
      </c>
      <c r="B27" s="10" t="s">
        <v>114</v>
      </c>
      <c r="C27" s="10" t="s">
        <v>180</v>
      </c>
      <c r="D27" s="10" t="s">
        <v>181</v>
      </c>
      <c r="E27" s="10" t="s">
        <v>182</v>
      </c>
      <c r="F27" s="11" t="n">
        <v>1</v>
      </c>
      <c r="G27" s="12" t="n">
        <v>20</v>
      </c>
      <c r="H27" s="13" t="n">
        <f aca="false">F27*G27</f>
        <v>20</v>
      </c>
      <c r="I27" s="10" t="s">
        <v>125</v>
      </c>
      <c r="J27" s="10" t="s">
        <v>183</v>
      </c>
      <c r="K27" s="14" t="s">
        <v>184</v>
      </c>
      <c r="L27" s="11" t="s">
        <v>185</v>
      </c>
    </row>
    <row r="28" customFormat="false" ht="15" hidden="false" customHeight="false" outlineLevel="0" collapsed="false">
      <c r="A28" s="15" t="s">
        <v>186</v>
      </c>
      <c r="B28" s="15" t="s">
        <v>187</v>
      </c>
      <c r="C28" s="15" t="s">
        <v>188</v>
      </c>
      <c r="D28" s="15" t="s">
        <v>189</v>
      </c>
      <c r="E28" s="15" t="s">
        <v>190</v>
      </c>
      <c r="F28" s="16" t="n">
        <v>1</v>
      </c>
      <c r="G28" s="17" t="n">
        <v>120</v>
      </c>
      <c r="H28" s="18" t="n">
        <f aca="false">F28*G28</f>
        <v>120</v>
      </c>
      <c r="I28" s="15" t="s">
        <v>191</v>
      </c>
      <c r="J28" s="15" t="s">
        <v>192</v>
      </c>
      <c r="K28" s="15" t="s">
        <v>193</v>
      </c>
      <c r="L28" s="16" t="s">
        <v>42</v>
      </c>
    </row>
    <row r="29" customFormat="false" ht="15" hidden="false" customHeight="false" outlineLevel="0" collapsed="false">
      <c r="A29" s="10" t="s">
        <v>194</v>
      </c>
      <c r="B29" s="10" t="s">
        <v>187</v>
      </c>
      <c r="C29" s="10" t="s">
        <v>195</v>
      </c>
      <c r="D29" s="10" t="s">
        <v>195</v>
      </c>
      <c r="E29" s="10" t="s">
        <v>196</v>
      </c>
      <c r="F29" s="11" t="n">
        <v>1</v>
      </c>
      <c r="G29" s="12" t="n">
        <v>180</v>
      </c>
      <c r="H29" s="13" t="n">
        <f aca="false">F29*G29</f>
        <v>180</v>
      </c>
      <c r="I29" s="10" t="s">
        <v>197</v>
      </c>
      <c r="J29" s="10" t="s">
        <v>198</v>
      </c>
      <c r="K29" s="14" t="s">
        <v>199</v>
      </c>
      <c r="L29" s="11" t="s">
        <v>42</v>
      </c>
    </row>
    <row r="30" customFormat="false" ht="15" hidden="false" customHeight="false" outlineLevel="0" collapsed="false">
      <c r="A30" s="15" t="s">
        <v>200</v>
      </c>
      <c r="B30" s="15" t="s">
        <v>187</v>
      </c>
      <c r="C30" s="15" t="s">
        <v>201</v>
      </c>
      <c r="D30" s="15" t="s">
        <v>202</v>
      </c>
      <c r="E30" s="15" t="s">
        <v>203</v>
      </c>
      <c r="F30" s="16" t="n">
        <v>1</v>
      </c>
      <c r="G30" s="17" t="n">
        <v>60</v>
      </c>
      <c r="H30" s="18" t="n">
        <f aca="false">F30*G30</f>
        <v>60</v>
      </c>
      <c r="I30" s="15" t="s">
        <v>204</v>
      </c>
      <c r="J30" s="15" t="s">
        <v>205</v>
      </c>
      <c r="K30" s="19" t="s">
        <v>206</v>
      </c>
      <c r="L30" s="16" t="s">
        <v>42</v>
      </c>
    </row>
    <row r="31" customFormat="false" ht="15" hidden="false" customHeight="false" outlineLevel="0" collapsed="false">
      <c r="A31" s="10" t="s">
        <v>207</v>
      </c>
      <c r="B31" s="10" t="s">
        <v>187</v>
      </c>
      <c r="C31" s="10" t="s">
        <v>208</v>
      </c>
      <c r="D31" s="10" t="s">
        <v>208</v>
      </c>
      <c r="E31" s="10" t="s">
        <v>209</v>
      </c>
      <c r="F31" s="11" t="n">
        <v>1</v>
      </c>
      <c r="G31" s="12" t="n">
        <v>45</v>
      </c>
      <c r="H31" s="13" t="n">
        <f aca="false">F31*G31</f>
        <v>45</v>
      </c>
      <c r="I31" s="10" t="s">
        <v>125</v>
      </c>
      <c r="J31" s="10" t="s">
        <v>210</v>
      </c>
      <c r="K31" s="14" t="s">
        <v>211</v>
      </c>
      <c r="L31" s="11" t="s">
        <v>42</v>
      </c>
    </row>
    <row r="32" customFormat="false" ht="15" hidden="false" customHeight="false" outlineLevel="0" collapsed="false">
      <c r="A32" s="15" t="s">
        <v>212</v>
      </c>
      <c r="B32" s="15" t="s">
        <v>187</v>
      </c>
      <c r="C32" s="15" t="s">
        <v>213</v>
      </c>
      <c r="D32" s="15" t="s">
        <v>214</v>
      </c>
      <c r="E32" s="15" t="s">
        <v>215</v>
      </c>
      <c r="F32" s="16" t="n">
        <v>1</v>
      </c>
      <c r="G32" s="17" t="n">
        <v>100</v>
      </c>
      <c r="H32" s="18" t="n">
        <f aca="false">F32*G32</f>
        <v>100</v>
      </c>
      <c r="I32" s="15" t="s">
        <v>125</v>
      </c>
      <c r="J32" s="15" t="s">
        <v>216</v>
      </c>
      <c r="K32" s="19" t="s">
        <v>217</v>
      </c>
      <c r="L32" s="16" t="s">
        <v>42</v>
      </c>
    </row>
    <row r="33" customFormat="false" ht="15" hidden="false" customHeight="false" outlineLevel="0" collapsed="false">
      <c r="A33" s="10" t="s">
        <v>218</v>
      </c>
      <c r="B33" s="10" t="s">
        <v>187</v>
      </c>
      <c r="C33" s="10" t="s">
        <v>219</v>
      </c>
      <c r="D33" s="10" t="s">
        <v>220</v>
      </c>
      <c r="E33" s="10" t="s">
        <v>221</v>
      </c>
      <c r="F33" s="11" t="n">
        <v>1</v>
      </c>
      <c r="G33" s="12" t="n">
        <v>30</v>
      </c>
      <c r="H33" s="13" t="n">
        <f aca="false">F33*G33</f>
        <v>30</v>
      </c>
      <c r="I33" s="10" t="s">
        <v>125</v>
      </c>
      <c r="J33" s="10" t="s">
        <v>222</v>
      </c>
      <c r="K33" s="14" t="s">
        <v>223</v>
      </c>
      <c r="L33" s="11" t="s">
        <v>42</v>
      </c>
    </row>
    <row r="34" customFormat="false" ht="15" hidden="false" customHeight="false" outlineLevel="0" collapsed="false">
      <c r="A34" s="15" t="s">
        <v>224</v>
      </c>
      <c r="B34" s="15" t="s">
        <v>187</v>
      </c>
      <c r="C34" s="15" t="s">
        <v>225</v>
      </c>
      <c r="D34" s="15" t="s">
        <v>226</v>
      </c>
      <c r="E34" s="15" t="s">
        <v>227</v>
      </c>
      <c r="F34" s="16" t="n">
        <v>4</v>
      </c>
      <c r="G34" s="17" t="n">
        <v>50</v>
      </c>
      <c r="H34" s="18" t="n">
        <f aca="false">F34*G34</f>
        <v>200</v>
      </c>
      <c r="I34" s="15" t="s">
        <v>125</v>
      </c>
      <c r="J34" s="15" t="s">
        <v>228</v>
      </c>
      <c r="K34" s="19" t="s">
        <v>229</v>
      </c>
      <c r="L34" s="16" t="s">
        <v>42</v>
      </c>
    </row>
    <row r="35" customFormat="false" ht="15" hidden="false" customHeight="false" outlineLevel="0" collapsed="false">
      <c r="A35" s="10" t="s">
        <v>230</v>
      </c>
      <c r="B35" s="10" t="s">
        <v>187</v>
      </c>
      <c r="C35" s="10" t="s">
        <v>231</v>
      </c>
      <c r="D35" s="14" t="s">
        <v>232</v>
      </c>
      <c r="E35" s="10" t="s">
        <v>233</v>
      </c>
      <c r="F35" s="11" t="n">
        <v>1</v>
      </c>
      <c r="G35" s="12" t="n">
        <v>25</v>
      </c>
      <c r="H35" s="13" t="n">
        <f aca="false">F35*G35</f>
        <v>25</v>
      </c>
      <c r="I35" s="10" t="s">
        <v>125</v>
      </c>
      <c r="J35" s="10" t="s">
        <v>234</v>
      </c>
      <c r="K35" s="14" t="s">
        <v>235</v>
      </c>
      <c r="L35" s="11" t="s">
        <v>42</v>
      </c>
    </row>
    <row r="36" customFormat="false" ht="15" hidden="false" customHeight="false" outlineLevel="0" collapsed="false">
      <c r="A36" s="15" t="s">
        <v>236</v>
      </c>
      <c r="B36" s="15" t="s">
        <v>187</v>
      </c>
      <c r="C36" s="15" t="s">
        <v>237</v>
      </c>
      <c r="D36" s="15" t="s">
        <v>238</v>
      </c>
      <c r="E36" s="15" t="s">
        <v>239</v>
      </c>
      <c r="F36" s="16" t="n">
        <v>1</v>
      </c>
      <c r="G36" s="17" t="n">
        <v>50</v>
      </c>
      <c r="H36" s="18" t="n">
        <f aca="false">F36*G36</f>
        <v>50</v>
      </c>
      <c r="I36" s="15" t="s">
        <v>125</v>
      </c>
      <c r="J36" s="15" t="s">
        <v>240</v>
      </c>
      <c r="K36" s="19" t="s">
        <v>241</v>
      </c>
      <c r="L36" s="16" t="s">
        <v>185</v>
      </c>
    </row>
    <row r="37" customFormat="false" ht="15" hidden="false" customHeight="false" outlineLevel="0" collapsed="false">
      <c r="A37" s="10" t="s">
        <v>242</v>
      </c>
      <c r="B37" s="10" t="s">
        <v>187</v>
      </c>
      <c r="C37" s="10" t="s">
        <v>243</v>
      </c>
      <c r="D37" s="14" t="s">
        <v>244</v>
      </c>
      <c r="E37" s="10" t="s">
        <v>245</v>
      </c>
      <c r="F37" s="11" t="n">
        <v>1</v>
      </c>
      <c r="G37" s="12" t="n">
        <v>30</v>
      </c>
      <c r="H37" s="13" t="n">
        <f aca="false">F37*G37</f>
        <v>30</v>
      </c>
      <c r="I37" s="10" t="s">
        <v>125</v>
      </c>
      <c r="J37" s="10" t="s">
        <v>246</v>
      </c>
      <c r="K37" s="14" t="s">
        <v>247</v>
      </c>
      <c r="L37" s="11" t="s">
        <v>42</v>
      </c>
    </row>
    <row r="38" customFormat="false" ht="15" hidden="false" customHeight="false" outlineLevel="0" collapsed="false">
      <c r="A38" s="15" t="s">
        <v>248</v>
      </c>
      <c r="B38" s="15" t="s">
        <v>187</v>
      </c>
      <c r="C38" s="15" t="s">
        <v>249</v>
      </c>
      <c r="D38" s="15" t="s">
        <v>250</v>
      </c>
      <c r="E38" s="15" t="s">
        <v>251</v>
      </c>
      <c r="F38" s="16" t="n">
        <v>1</v>
      </c>
      <c r="G38" s="17" t="n">
        <v>40</v>
      </c>
      <c r="H38" s="18" t="n">
        <f aca="false">F38*G38</f>
        <v>40</v>
      </c>
      <c r="I38" s="15" t="s">
        <v>125</v>
      </c>
      <c r="J38" s="15" t="s">
        <v>252</v>
      </c>
      <c r="K38" s="19" t="s">
        <v>253</v>
      </c>
      <c r="L38" s="16" t="s">
        <v>185</v>
      </c>
    </row>
    <row r="39" customFormat="false" ht="15" hidden="false" customHeight="false" outlineLevel="0" collapsed="false">
      <c r="A39" s="10" t="s">
        <v>254</v>
      </c>
      <c r="B39" s="10" t="s">
        <v>187</v>
      </c>
      <c r="C39" s="10" t="s">
        <v>255</v>
      </c>
      <c r="D39" s="10" t="s">
        <v>256</v>
      </c>
      <c r="E39" s="10" t="s">
        <v>257</v>
      </c>
      <c r="F39" s="11" t="n">
        <v>1</v>
      </c>
      <c r="G39" s="12" t="n">
        <v>15</v>
      </c>
      <c r="H39" s="13" t="n">
        <f aca="false">F39*G39</f>
        <v>15</v>
      </c>
      <c r="I39" s="10" t="s">
        <v>125</v>
      </c>
      <c r="J39" s="10" t="s">
        <v>258</v>
      </c>
      <c r="K39" s="14" t="s">
        <v>259</v>
      </c>
      <c r="L39" s="11" t="s">
        <v>42</v>
      </c>
    </row>
    <row r="40" customFormat="false" ht="15" hidden="false" customHeight="false" outlineLevel="0" collapsed="false">
      <c r="A40" s="15" t="s">
        <v>260</v>
      </c>
      <c r="B40" s="15" t="s">
        <v>187</v>
      </c>
      <c r="C40" s="15" t="s">
        <v>261</v>
      </c>
      <c r="D40" s="19" t="s">
        <v>262</v>
      </c>
      <c r="E40" s="15" t="s">
        <v>263</v>
      </c>
      <c r="F40" s="16" t="n">
        <v>1</v>
      </c>
      <c r="G40" s="17" t="n">
        <v>30</v>
      </c>
      <c r="H40" s="18" t="n">
        <f aca="false">F40*G40</f>
        <v>30</v>
      </c>
      <c r="I40" s="15" t="s">
        <v>125</v>
      </c>
      <c r="J40" s="15" t="s">
        <v>264</v>
      </c>
      <c r="K40" s="19" t="s">
        <v>265</v>
      </c>
      <c r="L40" s="16" t="s">
        <v>42</v>
      </c>
    </row>
    <row r="41" customFormat="false" ht="15" hidden="false" customHeight="false" outlineLevel="0" collapsed="false">
      <c r="A41" s="10" t="s">
        <v>266</v>
      </c>
      <c r="B41" s="10" t="s">
        <v>187</v>
      </c>
      <c r="C41" s="10" t="s">
        <v>267</v>
      </c>
      <c r="D41" s="14" t="s">
        <v>268</v>
      </c>
      <c r="E41" s="10" t="s">
        <v>269</v>
      </c>
      <c r="F41" s="11" t="n">
        <v>1</v>
      </c>
      <c r="G41" s="12" t="n">
        <v>70</v>
      </c>
      <c r="H41" s="13" t="n">
        <f aca="false">F41*G41</f>
        <v>70</v>
      </c>
      <c r="I41" s="10" t="s">
        <v>54</v>
      </c>
      <c r="J41" s="10" t="s">
        <v>270</v>
      </c>
      <c r="K41" s="14" t="s">
        <v>271</v>
      </c>
      <c r="L41" s="11" t="s">
        <v>42</v>
      </c>
    </row>
    <row r="42" customFormat="false" ht="15" hidden="false" customHeight="false" outlineLevel="0" collapsed="false">
      <c r="A42" s="15" t="s">
        <v>272</v>
      </c>
      <c r="B42" s="15" t="s">
        <v>187</v>
      </c>
      <c r="C42" s="15" t="s">
        <v>273</v>
      </c>
      <c r="D42" s="15" t="s">
        <v>274</v>
      </c>
      <c r="E42" s="15" t="s">
        <v>275</v>
      </c>
      <c r="F42" s="16" t="n">
        <v>1</v>
      </c>
      <c r="G42" s="17" t="n">
        <v>25</v>
      </c>
      <c r="H42" s="18" t="n">
        <f aca="false">F42*G42</f>
        <v>25</v>
      </c>
      <c r="I42" s="15" t="s">
        <v>125</v>
      </c>
      <c r="J42" s="15" t="s">
        <v>276</v>
      </c>
      <c r="K42" s="19" t="s">
        <v>277</v>
      </c>
      <c r="L42" s="16" t="s">
        <v>42</v>
      </c>
    </row>
    <row r="43" customFormat="false" ht="15" hidden="false" customHeight="false" outlineLevel="0" collapsed="false">
      <c r="A43" s="10" t="s">
        <v>278</v>
      </c>
      <c r="B43" s="10" t="s">
        <v>187</v>
      </c>
      <c r="C43" s="10" t="s">
        <v>279</v>
      </c>
      <c r="D43" s="14" t="s">
        <v>280</v>
      </c>
      <c r="E43" s="10" t="s">
        <v>281</v>
      </c>
      <c r="F43" s="11" t="n">
        <v>1</v>
      </c>
      <c r="G43" s="12" t="n">
        <v>10</v>
      </c>
      <c r="H43" s="13" t="n">
        <f aca="false">F43*G43</f>
        <v>10</v>
      </c>
      <c r="I43" s="10" t="s">
        <v>125</v>
      </c>
      <c r="J43" s="10" t="s">
        <v>282</v>
      </c>
      <c r="K43" s="14" t="s">
        <v>283</v>
      </c>
      <c r="L43" s="11" t="s">
        <v>42</v>
      </c>
    </row>
    <row r="44" customFormat="false" ht="20.85" hidden="false" customHeight="false" outlineLevel="0" collapsed="false">
      <c r="A44" s="15" t="s">
        <v>284</v>
      </c>
      <c r="B44" s="15" t="s">
        <v>285</v>
      </c>
      <c r="C44" s="15" t="s">
        <v>286</v>
      </c>
      <c r="D44" s="15" t="s">
        <v>287</v>
      </c>
      <c r="E44" s="15" t="s">
        <v>288</v>
      </c>
      <c r="F44" s="16" t="n">
        <v>1</v>
      </c>
      <c r="G44" s="17" t="n">
        <v>350</v>
      </c>
      <c r="H44" s="18" t="n">
        <f aca="false">F44*G44</f>
        <v>350</v>
      </c>
      <c r="I44" s="15" t="s">
        <v>289</v>
      </c>
      <c r="J44" s="15" t="s">
        <v>290</v>
      </c>
      <c r="K44" s="19" t="s">
        <v>291</v>
      </c>
      <c r="L44" s="16" t="s">
        <v>42</v>
      </c>
    </row>
    <row r="45" customFormat="false" ht="15" hidden="false" customHeight="false" outlineLevel="0" collapsed="false">
      <c r="A45" s="10" t="s">
        <v>292</v>
      </c>
      <c r="B45" s="10" t="s">
        <v>285</v>
      </c>
      <c r="C45" s="10" t="s">
        <v>293</v>
      </c>
      <c r="D45" s="10" t="s">
        <v>294</v>
      </c>
      <c r="E45" s="10" t="s">
        <v>295</v>
      </c>
      <c r="F45" s="11" t="n">
        <v>1</v>
      </c>
      <c r="G45" s="12" t="n">
        <v>80</v>
      </c>
      <c r="H45" s="13" t="n">
        <f aca="false">F45*G45</f>
        <v>80</v>
      </c>
      <c r="I45" s="10" t="s">
        <v>204</v>
      </c>
      <c r="J45" s="10" t="s">
        <v>296</v>
      </c>
      <c r="K45" s="14" t="s">
        <v>297</v>
      </c>
      <c r="L45" s="11" t="s">
        <v>42</v>
      </c>
    </row>
    <row r="46" customFormat="false" ht="15" hidden="false" customHeight="false" outlineLevel="0" collapsed="false">
      <c r="A46" s="15" t="s">
        <v>298</v>
      </c>
      <c r="B46" s="15" t="s">
        <v>285</v>
      </c>
      <c r="C46" s="15" t="s">
        <v>299</v>
      </c>
      <c r="D46" s="19" t="s">
        <v>300</v>
      </c>
      <c r="E46" s="15" t="s">
        <v>301</v>
      </c>
      <c r="F46" s="16" t="n">
        <v>1</v>
      </c>
      <c r="G46" s="17" t="n">
        <v>45</v>
      </c>
      <c r="H46" s="18" t="n">
        <f aca="false">F46*G46</f>
        <v>45</v>
      </c>
      <c r="I46" s="15" t="s">
        <v>125</v>
      </c>
      <c r="J46" s="15" t="s">
        <v>302</v>
      </c>
      <c r="K46" s="15" t="s">
        <v>303</v>
      </c>
      <c r="L46" s="16" t="s">
        <v>42</v>
      </c>
    </row>
    <row r="47" customFormat="false" ht="15" hidden="false" customHeight="false" outlineLevel="0" collapsed="false">
      <c r="A47" s="10" t="s">
        <v>304</v>
      </c>
      <c r="B47" s="10" t="s">
        <v>285</v>
      </c>
      <c r="C47" s="10" t="s">
        <v>305</v>
      </c>
      <c r="D47" s="14" t="s">
        <v>306</v>
      </c>
      <c r="E47" s="10" t="s">
        <v>301</v>
      </c>
      <c r="F47" s="11" t="n">
        <v>1</v>
      </c>
      <c r="G47" s="12" t="n">
        <v>40</v>
      </c>
      <c r="H47" s="13" t="n">
        <f aca="false">F47*G47</f>
        <v>40</v>
      </c>
      <c r="I47" s="10" t="s">
        <v>125</v>
      </c>
      <c r="J47" s="10" t="s">
        <v>307</v>
      </c>
      <c r="K47" s="14" t="s">
        <v>308</v>
      </c>
      <c r="L47" s="11" t="s">
        <v>42</v>
      </c>
    </row>
    <row r="48" customFormat="false" ht="15" hidden="false" customHeight="false" outlineLevel="0" collapsed="false">
      <c r="A48" s="15" t="s">
        <v>309</v>
      </c>
      <c r="B48" s="15" t="s">
        <v>285</v>
      </c>
      <c r="C48" s="15" t="s">
        <v>310</v>
      </c>
      <c r="D48" s="19" t="s">
        <v>311</v>
      </c>
      <c r="E48" s="15" t="s">
        <v>312</v>
      </c>
      <c r="F48" s="16" t="n">
        <v>1</v>
      </c>
      <c r="G48" s="17" t="n">
        <v>25</v>
      </c>
      <c r="H48" s="18" t="n">
        <f aca="false">F48*G48</f>
        <v>25</v>
      </c>
      <c r="I48" s="15" t="s">
        <v>125</v>
      </c>
      <c r="J48" s="15" t="s">
        <v>313</v>
      </c>
      <c r="K48" s="15" t="s">
        <v>314</v>
      </c>
      <c r="L48" s="16" t="s">
        <v>42</v>
      </c>
    </row>
    <row r="49" customFormat="false" ht="15" hidden="false" customHeight="false" outlineLevel="0" collapsed="false">
      <c r="A49" s="10" t="s">
        <v>315</v>
      </c>
      <c r="B49" s="10" t="s">
        <v>285</v>
      </c>
      <c r="C49" s="10" t="s">
        <v>316</v>
      </c>
      <c r="D49" s="14" t="s">
        <v>317</v>
      </c>
      <c r="E49" s="10" t="s">
        <v>318</v>
      </c>
      <c r="F49" s="11" t="n">
        <v>1</v>
      </c>
      <c r="G49" s="12" t="n">
        <v>25</v>
      </c>
      <c r="H49" s="13" t="n">
        <f aca="false">F49*G49</f>
        <v>25</v>
      </c>
      <c r="I49" s="10" t="s">
        <v>54</v>
      </c>
      <c r="J49" s="10" t="s">
        <v>319</v>
      </c>
      <c r="K49" s="14" t="s">
        <v>320</v>
      </c>
      <c r="L49" s="11" t="s">
        <v>42</v>
      </c>
    </row>
    <row r="50" customFormat="false" ht="15" hidden="false" customHeight="false" outlineLevel="0" collapsed="false">
      <c r="A50" s="15" t="s">
        <v>321</v>
      </c>
      <c r="B50" s="15" t="s">
        <v>285</v>
      </c>
      <c r="C50" s="15" t="s">
        <v>322</v>
      </c>
      <c r="D50" s="19" t="s">
        <v>323</v>
      </c>
      <c r="E50" s="15" t="s">
        <v>324</v>
      </c>
      <c r="F50" s="16" t="n">
        <v>1</v>
      </c>
      <c r="G50" s="17" t="n">
        <v>50</v>
      </c>
      <c r="H50" s="18" t="n">
        <f aca="false">F50*G50</f>
        <v>50</v>
      </c>
      <c r="I50" s="15" t="s">
        <v>125</v>
      </c>
      <c r="J50" s="15" t="s">
        <v>325</v>
      </c>
      <c r="K50" s="19" t="s">
        <v>326</v>
      </c>
      <c r="L50" s="16" t="s">
        <v>42</v>
      </c>
    </row>
    <row r="51" customFormat="false" ht="15" hidden="false" customHeight="false" outlineLevel="0" collapsed="false">
      <c r="A51" s="10" t="s">
        <v>327</v>
      </c>
      <c r="B51" s="10" t="s">
        <v>285</v>
      </c>
      <c r="C51" s="10" t="s">
        <v>328</v>
      </c>
      <c r="D51" s="10" t="s">
        <v>329</v>
      </c>
      <c r="E51" s="10" t="s">
        <v>330</v>
      </c>
      <c r="F51" s="11" t="n">
        <v>1</v>
      </c>
      <c r="G51" s="12" t="n">
        <v>25</v>
      </c>
      <c r="H51" s="13" t="n">
        <f aca="false">F51*G51</f>
        <v>25</v>
      </c>
      <c r="I51" s="10" t="s">
        <v>125</v>
      </c>
      <c r="J51" s="10" t="s">
        <v>331</v>
      </c>
      <c r="K51" s="14" t="s">
        <v>332</v>
      </c>
      <c r="L51" s="11" t="s">
        <v>42</v>
      </c>
    </row>
    <row r="52" customFormat="false" ht="15" hidden="false" customHeight="false" outlineLevel="0" collapsed="false">
      <c r="A52" s="15" t="s">
        <v>333</v>
      </c>
      <c r="B52" s="15" t="s">
        <v>285</v>
      </c>
      <c r="C52" s="15" t="s">
        <v>334</v>
      </c>
      <c r="D52" s="15" t="s">
        <v>335</v>
      </c>
      <c r="E52" s="15" t="s">
        <v>336</v>
      </c>
      <c r="F52" s="16" t="n">
        <v>1</v>
      </c>
      <c r="G52" s="17" t="n">
        <v>60</v>
      </c>
      <c r="H52" s="18" t="n">
        <f aca="false">F52*G52</f>
        <v>60</v>
      </c>
      <c r="I52" s="15" t="s">
        <v>54</v>
      </c>
      <c r="J52" s="15" t="s">
        <v>337</v>
      </c>
      <c r="K52" s="19" t="s">
        <v>338</v>
      </c>
      <c r="L52" s="16" t="s">
        <v>42</v>
      </c>
    </row>
    <row r="53" customFormat="false" ht="15" hidden="false" customHeight="false" outlineLevel="0" collapsed="false">
      <c r="A53" s="10" t="s">
        <v>339</v>
      </c>
      <c r="B53" s="10" t="s">
        <v>340</v>
      </c>
      <c r="C53" s="10" t="s">
        <v>341</v>
      </c>
      <c r="D53" s="14" t="s">
        <v>342</v>
      </c>
      <c r="E53" s="10" t="s">
        <v>343</v>
      </c>
      <c r="F53" s="11" t="n">
        <v>2</v>
      </c>
      <c r="G53" s="12" t="n">
        <v>20</v>
      </c>
      <c r="H53" s="13" t="n">
        <f aca="false">F53*G53</f>
        <v>40</v>
      </c>
      <c r="I53" s="10" t="s">
        <v>344</v>
      </c>
      <c r="J53" s="10" t="s">
        <v>345</v>
      </c>
      <c r="K53" s="10" t="s">
        <v>346</v>
      </c>
      <c r="L53" s="11" t="s">
        <v>42</v>
      </c>
    </row>
    <row r="54" customFormat="false" ht="15" hidden="false" customHeight="false" outlineLevel="0" collapsed="false">
      <c r="A54" s="15" t="s">
        <v>347</v>
      </c>
      <c r="B54" s="15" t="s">
        <v>340</v>
      </c>
      <c r="C54" s="15" t="s">
        <v>348</v>
      </c>
      <c r="D54" s="19" t="s">
        <v>349</v>
      </c>
      <c r="E54" s="15" t="s">
        <v>350</v>
      </c>
      <c r="F54" s="16" t="n">
        <v>1</v>
      </c>
      <c r="G54" s="17" t="n">
        <v>90</v>
      </c>
      <c r="H54" s="18" t="n">
        <f aca="false">F54*G54</f>
        <v>90</v>
      </c>
      <c r="I54" s="15" t="s">
        <v>125</v>
      </c>
      <c r="J54" s="15" t="s">
        <v>351</v>
      </c>
      <c r="K54" s="19" t="s">
        <v>352</v>
      </c>
      <c r="L54" s="16" t="s">
        <v>42</v>
      </c>
    </row>
    <row r="55" customFormat="false" ht="15" hidden="false" customHeight="false" outlineLevel="0" collapsed="false">
      <c r="A55" s="10" t="s">
        <v>353</v>
      </c>
      <c r="B55" s="10" t="s">
        <v>340</v>
      </c>
      <c r="C55" s="10" t="s">
        <v>354</v>
      </c>
      <c r="D55" s="14" t="s">
        <v>355</v>
      </c>
      <c r="E55" s="10" t="s">
        <v>356</v>
      </c>
      <c r="F55" s="11" t="n">
        <v>1</v>
      </c>
      <c r="G55" s="12" t="n">
        <v>30</v>
      </c>
      <c r="H55" s="13" t="n">
        <f aca="false">F55*G55</f>
        <v>30</v>
      </c>
      <c r="I55" s="10" t="s">
        <v>125</v>
      </c>
      <c r="J55" s="10" t="s">
        <v>357</v>
      </c>
      <c r="K55" s="14" t="s">
        <v>358</v>
      </c>
      <c r="L55" s="11" t="s">
        <v>42</v>
      </c>
    </row>
    <row r="56" customFormat="false" ht="15" hidden="false" customHeight="false" outlineLevel="0" collapsed="false">
      <c r="A56" s="15" t="s">
        <v>359</v>
      </c>
      <c r="B56" s="15" t="s">
        <v>340</v>
      </c>
      <c r="C56" s="15" t="s">
        <v>360</v>
      </c>
      <c r="D56" s="19" t="s">
        <v>361</v>
      </c>
      <c r="E56" s="15" t="s">
        <v>362</v>
      </c>
      <c r="F56" s="16" t="n">
        <v>1</v>
      </c>
      <c r="G56" s="17" t="n">
        <v>50</v>
      </c>
      <c r="H56" s="18" t="n">
        <f aca="false">F56*G56</f>
        <v>50</v>
      </c>
      <c r="I56" s="15" t="s">
        <v>54</v>
      </c>
      <c r="J56" s="15" t="s">
        <v>363</v>
      </c>
      <c r="K56" s="19" t="s">
        <v>364</v>
      </c>
      <c r="L56" s="16" t="s">
        <v>42</v>
      </c>
    </row>
    <row r="57" customFormat="false" ht="15" hidden="false" customHeight="false" outlineLevel="0" collapsed="false">
      <c r="A57" s="10" t="s">
        <v>365</v>
      </c>
      <c r="B57" s="10" t="s">
        <v>340</v>
      </c>
      <c r="C57" s="10" t="s">
        <v>366</v>
      </c>
      <c r="D57" s="14" t="s">
        <v>367</v>
      </c>
      <c r="E57" s="10" t="s">
        <v>368</v>
      </c>
      <c r="F57" s="11" t="n">
        <v>1</v>
      </c>
      <c r="G57" s="12" t="n">
        <v>30</v>
      </c>
      <c r="H57" s="13" t="n">
        <f aca="false">F57*G57</f>
        <v>30</v>
      </c>
      <c r="I57" s="10" t="s">
        <v>344</v>
      </c>
      <c r="J57" s="10" t="s">
        <v>369</v>
      </c>
      <c r="K57" s="14" t="s">
        <v>370</v>
      </c>
      <c r="L57" s="11" t="s">
        <v>42</v>
      </c>
    </row>
    <row r="58" customFormat="false" ht="15" hidden="false" customHeight="false" outlineLevel="0" collapsed="false">
      <c r="A58" s="15" t="s">
        <v>371</v>
      </c>
      <c r="B58" s="15" t="s">
        <v>340</v>
      </c>
      <c r="C58" s="15" t="s">
        <v>372</v>
      </c>
      <c r="D58" s="15" t="s">
        <v>373</v>
      </c>
      <c r="E58" s="15" t="s">
        <v>374</v>
      </c>
      <c r="F58" s="16" t="n">
        <v>1</v>
      </c>
      <c r="G58" s="17" t="n">
        <v>30</v>
      </c>
      <c r="H58" s="18" t="n">
        <f aca="false">F58*G58</f>
        <v>30</v>
      </c>
      <c r="I58" s="15" t="s">
        <v>204</v>
      </c>
      <c r="J58" s="15" t="s">
        <v>375</v>
      </c>
      <c r="K58" s="19" t="s">
        <v>376</v>
      </c>
      <c r="L58" s="16" t="s">
        <v>42</v>
      </c>
    </row>
    <row r="59" customFormat="false" ht="15" hidden="false" customHeight="false" outlineLevel="0" collapsed="false">
      <c r="A59" s="10" t="s">
        <v>377</v>
      </c>
      <c r="B59" s="10" t="s">
        <v>340</v>
      </c>
      <c r="C59" s="10" t="s">
        <v>378</v>
      </c>
      <c r="D59" s="14" t="s">
        <v>379</v>
      </c>
      <c r="E59" s="10" t="s">
        <v>380</v>
      </c>
      <c r="F59" s="11" t="n">
        <v>1</v>
      </c>
      <c r="G59" s="12" t="n">
        <v>30</v>
      </c>
      <c r="H59" s="13" t="n">
        <f aca="false">F59*G59</f>
        <v>30</v>
      </c>
      <c r="I59" s="10" t="s">
        <v>381</v>
      </c>
      <c r="J59" s="10" t="s">
        <v>382</v>
      </c>
      <c r="K59" s="14" t="s">
        <v>383</v>
      </c>
      <c r="L59" s="11" t="s">
        <v>42</v>
      </c>
    </row>
    <row r="60" customFormat="false" ht="15" hidden="false" customHeight="false" outlineLevel="0" collapsed="false">
      <c r="A60" s="15" t="s">
        <v>384</v>
      </c>
      <c r="B60" s="15" t="s">
        <v>340</v>
      </c>
      <c r="C60" s="15" t="s">
        <v>385</v>
      </c>
      <c r="D60" s="19" t="s">
        <v>386</v>
      </c>
      <c r="E60" s="15" t="s">
        <v>387</v>
      </c>
      <c r="F60" s="16" t="n">
        <v>1</v>
      </c>
      <c r="G60" s="17" t="n">
        <v>45</v>
      </c>
      <c r="H60" s="18" t="n">
        <f aca="false">F60*G60</f>
        <v>45</v>
      </c>
      <c r="I60" s="15" t="s">
        <v>388</v>
      </c>
      <c r="J60" s="15" t="s">
        <v>389</v>
      </c>
      <c r="K60" s="19" t="s">
        <v>390</v>
      </c>
      <c r="L60" s="16" t="s">
        <v>42</v>
      </c>
    </row>
    <row r="61" customFormat="false" ht="15" hidden="false" customHeight="false" outlineLevel="0" collapsed="false">
      <c r="A61" s="10" t="s">
        <v>391</v>
      </c>
      <c r="B61" s="10" t="s">
        <v>340</v>
      </c>
      <c r="C61" s="10" t="s">
        <v>392</v>
      </c>
      <c r="D61" s="14" t="s">
        <v>393</v>
      </c>
      <c r="E61" s="10" t="s">
        <v>368</v>
      </c>
      <c r="F61" s="11" t="n">
        <v>1</v>
      </c>
      <c r="G61" s="12" t="n">
        <v>50</v>
      </c>
      <c r="H61" s="13" t="n">
        <f aca="false">F61*G61</f>
        <v>50</v>
      </c>
      <c r="I61" s="10" t="s">
        <v>54</v>
      </c>
      <c r="J61" s="10" t="s">
        <v>394</v>
      </c>
      <c r="K61" s="14" t="s">
        <v>395</v>
      </c>
      <c r="L61" s="11" t="s">
        <v>42</v>
      </c>
    </row>
    <row r="62" customFormat="false" ht="15" hidden="false" customHeight="false" outlineLevel="0" collapsed="false">
      <c r="A62" s="15" t="s">
        <v>396</v>
      </c>
      <c r="B62" s="15" t="s">
        <v>340</v>
      </c>
      <c r="C62" s="15" t="s">
        <v>397</v>
      </c>
      <c r="D62" s="19" t="s">
        <v>398</v>
      </c>
      <c r="E62" s="15" t="s">
        <v>399</v>
      </c>
      <c r="F62" s="16" t="n">
        <v>1</v>
      </c>
      <c r="G62" s="17" t="n">
        <v>40</v>
      </c>
      <c r="H62" s="18" t="n">
        <f aca="false">F62*G62</f>
        <v>40</v>
      </c>
      <c r="I62" s="15" t="s">
        <v>400</v>
      </c>
      <c r="J62" s="15" t="s">
        <v>401</v>
      </c>
      <c r="K62" s="19" t="s">
        <v>402</v>
      </c>
      <c r="L62" s="16" t="s">
        <v>42</v>
      </c>
    </row>
    <row r="63" customFormat="false" ht="24" hidden="false" customHeight="true" outlineLevel="0" collapsed="false">
      <c r="A63" s="20" t="s">
        <v>403</v>
      </c>
      <c r="B63" s="20"/>
      <c r="C63" s="20"/>
      <c r="D63" s="20"/>
      <c r="E63" s="20"/>
      <c r="F63" s="20"/>
      <c r="G63" s="20"/>
      <c r="H63" s="21" t="n">
        <f aca="false">SUM(H5:H62)</f>
        <v>4050</v>
      </c>
      <c r="I63" s="22"/>
      <c r="J63" s="22"/>
      <c r="K63" s="22"/>
      <c r="L63" s="22"/>
    </row>
  </sheetData>
  <autoFilter ref="A4:L62"/>
  <mergeCells count="3">
    <mergeCell ref="A1:L1"/>
    <mergeCell ref="A2:L2"/>
    <mergeCell ref="A63:G63"/>
  </mergeCells>
  <conditionalFormatting sqref="L5:L62">
    <cfRule type="expression" priority="2" aboveAverage="0" equalAverage="0" bottom="0" percent="0" rank="0" text="" dxfId="7">
      <formula>$L5="Optional"</formula>
    </cfRule>
    <cfRule type="expression" priority="3" aboveAverage="0" equalAverage="0" bottom="0" percent="0" rank="0" text="" dxfId="8">
      <formula>$L5="Core"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55"/>
  </cols>
  <sheetData>
    <row r="2" customFormat="false" ht="23.85" hidden="false" customHeight="false" outlineLevel="0" collapsed="false">
      <c r="B2" s="23" t="s">
        <v>404</v>
      </c>
      <c r="C2" s="23"/>
      <c r="D2" s="23"/>
      <c r="E2" s="23"/>
    </row>
    <row r="3" customFormat="false" ht="15" hidden="false" customHeight="false" outlineLevel="0" collapsed="false">
      <c r="B3" s="3" t="s">
        <v>405</v>
      </c>
      <c r="C3" s="3"/>
      <c r="D3" s="3"/>
      <c r="E3" s="3"/>
    </row>
    <row r="5" customFormat="false" ht="15" hidden="false" customHeight="false" outlineLevel="0" collapsed="false">
      <c r="B5" s="24" t="s">
        <v>24</v>
      </c>
      <c r="C5" s="24" t="s">
        <v>406</v>
      </c>
      <c r="D5" s="24" t="s">
        <v>407</v>
      </c>
      <c r="E5" s="24" t="s">
        <v>408</v>
      </c>
    </row>
    <row r="6" customFormat="false" ht="15" hidden="false" customHeight="false" outlineLevel="0" collapsed="false">
      <c r="B6" s="10" t="s">
        <v>35</v>
      </c>
      <c r="C6" s="12" t="n">
        <f aca="false">SUMIF(BOM!$B$5:$B$62,B6,BOM!$H$5:$H$62)</f>
        <v>1395</v>
      </c>
      <c r="D6" s="25" t="n">
        <f aca="false">C6/$C$11</f>
        <v>0.344444444444444</v>
      </c>
      <c r="E6" s="10"/>
    </row>
    <row r="7" customFormat="false" ht="15" hidden="false" customHeight="false" outlineLevel="0" collapsed="false">
      <c r="B7" s="10" t="s">
        <v>114</v>
      </c>
      <c r="C7" s="12" t="n">
        <f aca="false">SUMIF(BOM!$B$5:$B$62,B7,BOM!$H$5:$H$62)</f>
        <v>490</v>
      </c>
      <c r="D7" s="25" t="n">
        <f aca="false">C7/$C$11</f>
        <v>0.120987654320988</v>
      </c>
      <c r="E7" s="10"/>
    </row>
    <row r="8" customFormat="false" ht="15" hidden="false" customHeight="false" outlineLevel="0" collapsed="false">
      <c r="B8" s="10" t="s">
        <v>187</v>
      </c>
      <c r="C8" s="12" t="n">
        <f aca="false">SUMIF(BOM!$B$5:$B$62,B8,BOM!$H$5:$H$62)</f>
        <v>1030</v>
      </c>
      <c r="D8" s="25" t="n">
        <f aca="false">C8/$C$11</f>
        <v>0.254320987654321</v>
      </c>
      <c r="E8" s="10"/>
    </row>
    <row r="9" customFormat="false" ht="15" hidden="false" customHeight="false" outlineLevel="0" collapsed="false">
      <c r="B9" s="10" t="s">
        <v>285</v>
      </c>
      <c r="C9" s="12" t="n">
        <f aca="false">SUMIF(BOM!$B$5:$B$62,B9,BOM!$H$5:$H$62)</f>
        <v>700</v>
      </c>
      <c r="D9" s="25" t="n">
        <f aca="false">C9/$C$11</f>
        <v>0.17283950617284</v>
      </c>
      <c r="E9" s="10"/>
    </row>
    <row r="10" customFormat="false" ht="15" hidden="false" customHeight="false" outlineLevel="0" collapsed="false">
      <c r="B10" s="10" t="s">
        <v>340</v>
      </c>
      <c r="C10" s="12" t="n">
        <f aca="false">SUMIF(BOM!$B$5:$B$62,B10,BOM!$H$5:$H$62)</f>
        <v>435</v>
      </c>
      <c r="D10" s="25" t="n">
        <f aca="false">C10/$C$11</f>
        <v>0.107407407407407</v>
      </c>
      <c r="E10" s="10"/>
    </row>
    <row r="11" customFormat="false" ht="15" hidden="false" customHeight="false" outlineLevel="0" collapsed="false">
      <c r="B11" s="26" t="s">
        <v>409</v>
      </c>
      <c r="C11" s="27" t="n">
        <f aca="false">SUM(C6:C10)</f>
        <v>4050</v>
      </c>
      <c r="D11" s="28" t="n">
        <v>1</v>
      </c>
      <c r="E11" s="26" t="s">
        <v>410</v>
      </c>
    </row>
    <row r="14" customFormat="false" ht="15" hidden="false" customHeight="false" outlineLevel="0" collapsed="false">
      <c r="B14" s="24" t="s">
        <v>411</v>
      </c>
      <c r="C14" s="24" t="s">
        <v>406</v>
      </c>
      <c r="D14" s="24" t="s">
        <v>412</v>
      </c>
      <c r="E14" s="24"/>
    </row>
    <row r="15" customFormat="false" ht="42" hidden="false" customHeight="true" outlineLevel="0" collapsed="false">
      <c r="B15" s="29" t="s">
        <v>413</v>
      </c>
      <c r="C15" s="30" t="n">
        <v>3200</v>
      </c>
      <c r="D15" s="29" t="s">
        <v>414</v>
      </c>
      <c r="E15" s="29"/>
    </row>
    <row r="16" customFormat="false" ht="42" hidden="false" customHeight="true" outlineLevel="0" collapsed="false">
      <c r="B16" s="29" t="s">
        <v>415</v>
      </c>
      <c r="C16" s="30" t="n">
        <f aca="false">C11</f>
        <v>4050</v>
      </c>
      <c r="D16" s="29" t="s">
        <v>416</v>
      </c>
      <c r="E16" s="29"/>
    </row>
    <row r="17" customFormat="false" ht="42" hidden="false" customHeight="true" outlineLevel="0" collapsed="false">
      <c r="B17" s="29" t="s">
        <v>417</v>
      </c>
      <c r="C17" s="30" t="n">
        <v>4800</v>
      </c>
      <c r="D17" s="29" t="s">
        <v>418</v>
      </c>
      <c r="E17" s="29"/>
    </row>
    <row r="19" customFormat="false" ht="31.5" hidden="false" customHeight="true" outlineLevel="0" collapsed="false">
      <c r="B19" s="31" t="s">
        <v>419</v>
      </c>
      <c r="C19" s="31"/>
      <c r="D19" s="31"/>
      <c r="E19" s="31"/>
    </row>
  </sheetData>
  <mergeCells count="7">
    <mergeCell ref="B2:E2"/>
    <mergeCell ref="B3:E3"/>
    <mergeCell ref="D14:E14"/>
    <mergeCell ref="D15:E15"/>
    <mergeCell ref="D16:E16"/>
    <mergeCell ref="D17:E17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4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7" t="s">
        <v>420</v>
      </c>
      <c r="B1" s="7"/>
      <c r="C1" s="7"/>
      <c r="D1" s="7"/>
      <c r="E1" s="7"/>
      <c r="F1" s="7"/>
    </row>
    <row r="2" customFormat="false" ht="30" hidden="false" customHeight="true" outlineLevel="0" collapsed="false">
      <c r="A2" s="8" t="s">
        <v>421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23</v>
      </c>
      <c r="B4" s="9" t="s">
        <v>422</v>
      </c>
      <c r="C4" s="9" t="s">
        <v>423</v>
      </c>
      <c r="D4" s="9" t="s">
        <v>28</v>
      </c>
      <c r="E4" s="9" t="s">
        <v>29</v>
      </c>
      <c r="F4" s="9" t="s">
        <v>30</v>
      </c>
    </row>
    <row r="5" customFormat="false" ht="15" hidden="false" customHeight="false" outlineLevel="0" collapsed="false">
      <c r="A5" s="10" t="s">
        <v>424</v>
      </c>
      <c r="B5" s="10" t="s">
        <v>425</v>
      </c>
      <c r="C5" s="14" t="s">
        <v>426</v>
      </c>
      <c r="D5" s="32" t="n">
        <v>1</v>
      </c>
      <c r="E5" s="12" t="n">
        <v>180</v>
      </c>
      <c r="F5" s="12" t="n">
        <f aca="false">D5*E5</f>
        <v>180</v>
      </c>
    </row>
    <row r="6" customFormat="false" ht="15" hidden="false" customHeight="false" outlineLevel="0" collapsed="false">
      <c r="A6" s="15" t="s">
        <v>427</v>
      </c>
      <c r="B6" s="15" t="s">
        <v>428</v>
      </c>
      <c r="C6" s="19" t="s">
        <v>429</v>
      </c>
      <c r="D6" s="33" t="n">
        <v>1</v>
      </c>
      <c r="E6" s="17" t="n">
        <v>150</v>
      </c>
      <c r="F6" s="17" t="n">
        <f aca="false">D6*E6</f>
        <v>150</v>
      </c>
    </row>
    <row r="7" customFormat="false" ht="15" hidden="false" customHeight="false" outlineLevel="0" collapsed="false">
      <c r="A7" s="10" t="s">
        <v>430</v>
      </c>
      <c r="B7" s="10" t="s">
        <v>431</v>
      </c>
      <c r="C7" s="14" t="s">
        <v>432</v>
      </c>
      <c r="D7" s="32" t="n">
        <v>1</v>
      </c>
      <c r="E7" s="12" t="n">
        <v>120</v>
      </c>
      <c r="F7" s="12" t="n">
        <f aca="false">D7*E7</f>
        <v>120</v>
      </c>
    </row>
    <row r="8" customFormat="false" ht="15" hidden="false" customHeight="false" outlineLevel="0" collapsed="false">
      <c r="A8" s="15" t="s">
        <v>433</v>
      </c>
      <c r="B8" s="15" t="s">
        <v>434</v>
      </c>
      <c r="C8" s="19" t="s">
        <v>435</v>
      </c>
      <c r="D8" s="33" t="n">
        <v>1</v>
      </c>
      <c r="E8" s="17" t="n">
        <v>350</v>
      </c>
      <c r="F8" s="17" t="n">
        <f aca="false">D8*E8</f>
        <v>350</v>
      </c>
    </row>
    <row r="9" customFormat="false" ht="15" hidden="false" customHeight="false" outlineLevel="0" collapsed="false">
      <c r="A9" s="10" t="s">
        <v>436</v>
      </c>
      <c r="B9" s="10" t="s">
        <v>437</v>
      </c>
      <c r="C9" s="14" t="s">
        <v>438</v>
      </c>
      <c r="D9" s="32" t="n">
        <v>1</v>
      </c>
      <c r="E9" s="12" t="n">
        <v>300</v>
      </c>
      <c r="F9" s="12" t="n">
        <f aca="false">D9*E9</f>
        <v>300</v>
      </c>
    </row>
    <row r="10" customFormat="false" ht="15" hidden="false" customHeight="false" outlineLevel="0" collapsed="false">
      <c r="A10" s="15" t="s">
        <v>439</v>
      </c>
      <c r="B10" s="15" t="s">
        <v>440</v>
      </c>
      <c r="C10" s="19" t="s">
        <v>441</v>
      </c>
      <c r="D10" s="33" t="n">
        <v>1</v>
      </c>
      <c r="E10" s="17" t="n">
        <v>120</v>
      </c>
      <c r="F10" s="17" t="n">
        <f aca="false">D10*E10</f>
        <v>120</v>
      </c>
    </row>
    <row r="11" customFormat="false" ht="15" hidden="false" customHeight="false" outlineLevel="0" collapsed="false">
      <c r="A11" s="10" t="s">
        <v>442</v>
      </c>
      <c r="B11" s="10" t="s">
        <v>443</v>
      </c>
      <c r="C11" s="14" t="s">
        <v>444</v>
      </c>
      <c r="D11" s="32" t="n">
        <v>1</v>
      </c>
      <c r="E11" s="12" t="n">
        <v>80</v>
      </c>
      <c r="F11" s="12" t="n">
        <f aca="false">D11*E11</f>
        <v>80</v>
      </c>
    </row>
    <row r="12" customFormat="false" ht="15" hidden="false" customHeight="false" outlineLevel="0" collapsed="false">
      <c r="A12" s="15" t="s">
        <v>445</v>
      </c>
      <c r="B12" s="15" t="s">
        <v>446</v>
      </c>
      <c r="C12" s="19" t="s">
        <v>447</v>
      </c>
      <c r="D12" s="33" t="n">
        <v>1</v>
      </c>
      <c r="E12" s="17" t="n">
        <v>80</v>
      </c>
      <c r="F12" s="17" t="n">
        <f aca="false">D12*E12</f>
        <v>80</v>
      </c>
    </row>
    <row r="13" customFormat="false" ht="15" hidden="false" customHeight="false" outlineLevel="0" collapsed="false">
      <c r="A13" s="10" t="s">
        <v>448</v>
      </c>
      <c r="B13" s="10" t="s">
        <v>449</v>
      </c>
      <c r="C13" s="14" t="s">
        <v>450</v>
      </c>
      <c r="D13" s="32" t="n">
        <v>1</v>
      </c>
      <c r="E13" s="12" t="n">
        <v>60</v>
      </c>
      <c r="F13" s="12" t="n">
        <f aca="false">D13*E13</f>
        <v>60</v>
      </c>
    </row>
    <row r="14" customFormat="false" ht="15" hidden="false" customHeight="false" outlineLevel="0" collapsed="false">
      <c r="A14" s="15" t="s">
        <v>451</v>
      </c>
      <c r="B14" s="15" t="s">
        <v>452</v>
      </c>
      <c r="C14" s="19" t="s">
        <v>453</v>
      </c>
      <c r="D14" s="33" t="n">
        <v>1</v>
      </c>
      <c r="E14" s="17" t="n">
        <v>80</v>
      </c>
      <c r="F14" s="17" t="n">
        <f aca="false">D14*E14</f>
        <v>80</v>
      </c>
    </row>
    <row r="15" customFormat="false" ht="15" hidden="false" customHeight="false" outlineLevel="0" collapsed="false">
      <c r="A15" s="34" t="s">
        <v>454</v>
      </c>
      <c r="B15" s="34"/>
      <c r="C15" s="34"/>
      <c r="D15" s="34"/>
      <c r="E15" s="34"/>
      <c r="F15" s="35" t="n">
        <f aca="false">SUM(F5:F14)</f>
        <v>1520</v>
      </c>
    </row>
  </sheetData>
  <mergeCells count="3">
    <mergeCell ref="A1:F1"/>
    <mergeCell ref="A2:F2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60"/>
  </cols>
  <sheetData>
    <row r="1" customFormat="false" ht="30" hidden="false" customHeight="true" outlineLevel="0" collapsed="false">
      <c r="A1" s="7" t="s">
        <v>455</v>
      </c>
      <c r="B1" s="7"/>
      <c r="C1" s="7"/>
      <c r="D1" s="7"/>
      <c r="E1" s="7"/>
    </row>
    <row r="2" customFormat="false" ht="30" hidden="false" customHeight="true" outlineLevel="0" collapsed="false">
      <c r="A2" s="8" t="s">
        <v>456</v>
      </c>
      <c r="B2" s="8"/>
      <c r="C2" s="8"/>
      <c r="D2" s="8"/>
      <c r="E2" s="8"/>
    </row>
    <row r="4" customFormat="false" ht="15" hidden="false" customHeight="false" outlineLevel="0" collapsed="false">
      <c r="A4" s="9" t="s">
        <v>457</v>
      </c>
      <c r="B4" s="9" t="s">
        <v>458</v>
      </c>
      <c r="C4" s="9" t="s">
        <v>459</v>
      </c>
      <c r="D4" s="9" t="s">
        <v>460</v>
      </c>
      <c r="E4" s="9" t="s">
        <v>461</v>
      </c>
    </row>
    <row r="5" customFormat="false" ht="15" hidden="false" customHeight="false" outlineLevel="0" collapsed="false">
      <c r="A5" s="10" t="s">
        <v>462</v>
      </c>
      <c r="B5" s="10" t="s">
        <v>463</v>
      </c>
      <c r="C5" s="10" t="s">
        <v>464</v>
      </c>
      <c r="D5" s="10" t="s">
        <v>465</v>
      </c>
      <c r="E5" s="10" t="s">
        <v>466</v>
      </c>
    </row>
    <row r="6" customFormat="false" ht="15" hidden="false" customHeight="false" outlineLevel="0" collapsed="false">
      <c r="A6" s="15" t="s">
        <v>467</v>
      </c>
      <c r="B6" s="15" t="s">
        <v>468</v>
      </c>
      <c r="C6" s="15" t="s">
        <v>464</v>
      </c>
      <c r="D6" s="15" t="s">
        <v>469</v>
      </c>
      <c r="E6" s="15" t="s">
        <v>470</v>
      </c>
    </row>
    <row r="7" customFormat="false" ht="15" hidden="false" customHeight="false" outlineLevel="0" collapsed="false">
      <c r="A7" s="10" t="s">
        <v>471</v>
      </c>
      <c r="B7" s="10" t="s">
        <v>472</v>
      </c>
      <c r="C7" s="10" t="s">
        <v>473</v>
      </c>
      <c r="D7" s="10" t="s">
        <v>474</v>
      </c>
      <c r="E7" s="10" t="s">
        <v>475</v>
      </c>
    </row>
    <row r="8" customFormat="false" ht="15" hidden="false" customHeight="false" outlineLevel="0" collapsed="false">
      <c r="A8" s="15" t="s">
        <v>476</v>
      </c>
      <c r="B8" s="15" t="s">
        <v>477</v>
      </c>
      <c r="C8" s="15" t="s">
        <v>478</v>
      </c>
      <c r="D8" s="15" t="s">
        <v>474</v>
      </c>
      <c r="E8" s="15" t="s">
        <v>479</v>
      </c>
    </row>
    <row r="9" customFormat="false" ht="15" hidden="false" customHeight="false" outlineLevel="0" collapsed="false">
      <c r="A9" s="10" t="s">
        <v>480</v>
      </c>
      <c r="B9" s="10" t="s">
        <v>481</v>
      </c>
      <c r="C9" s="10" t="s">
        <v>478</v>
      </c>
      <c r="D9" s="10" t="s">
        <v>482</v>
      </c>
      <c r="E9" s="10" t="s">
        <v>483</v>
      </c>
    </row>
    <row r="10" customFormat="false" ht="15" hidden="false" customHeight="false" outlineLevel="0" collapsed="false">
      <c r="A10" s="15" t="s">
        <v>484</v>
      </c>
      <c r="B10" s="15" t="s">
        <v>485</v>
      </c>
      <c r="C10" s="15" t="s">
        <v>478</v>
      </c>
      <c r="D10" s="15" t="s">
        <v>486</v>
      </c>
      <c r="E10" s="15" t="s">
        <v>487</v>
      </c>
    </row>
    <row r="11" customFormat="false" ht="15" hidden="false" customHeight="false" outlineLevel="0" collapsed="false">
      <c r="A11" s="10" t="s">
        <v>488</v>
      </c>
      <c r="B11" s="10" t="s">
        <v>489</v>
      </c>
      <c r="C11" s="10" t="s">
        <v>478</v>
      </c>
      <c r="D11" s="10" t="s">
        <v>490</v>
      </c>
      <c r="E11" s="10" t="s">
        <v>491</v>
      </c>
    </row>
    <row r="12" customFormat="false" ht="15" hidden="false" customHeight="false" outlineLevel="0" collapsed="false">
      <c r="A12" s="15" t="s">
        <v>492</v>
      </c>
      <c r="B12" s="15" t="s">
        <v>493</v>
      </c>
      <c r="C12" s="15" t="s">
        <v>494</v>
      </c>
      <c r="D12" s="15" t="s">
        <v>495</v>
      </c>
      <c r="E12" s="15" t="s">
        <v>496</v>
      </c>
    </row>
    <row r="13" customFormat="false" ht="15" hidden="false" customHeight="false" outlineLevel="0" collapsed="false">
      <c r="A13" s="10" t="s">
        <v>497</v>
      </c>
      <c r="B13" s="10" t="s">
        <v>498</v>
      </c>
      <c r="C13" s="10" t="s">
        <v>499</v>
      </c>
      <c r="D13" s="10" t="s">
        <v>500</v>
      </c>
      <c r="E13" s="10" t="s">
        <v>501</v>
      </c>
    </row>
    <row r="14" customFormat="false" ht="15" hidden="false" customHeight="false" outlineLevel="0" collapsed="false">
      <c r="A14" s="15" t="s">
        <v>502</v>
      </c>
      <c r="B14" s="15" t="s">
        <v>503</v>
      </c>
      <c r="C14" s="15" t="s">
        <v>499</v>
      </c>
      <c r="D14" s="15" t="s">
        <v>504</v>
      </c>
      <c r="E14" s="15" t="s">
        <v>505</v>
      </c>
    </row>
    <row r="15" customFormat="false" ht="15" hidden="false" customHeight="false" outlineLevel="0" collapsed="false">
      <c r="A15" s="10" t="s">
        <v>506</v>
      </c>
      <c r="B15" s="10" t="s">
        <v>507</v>
      </c>
      <c r="C15" s="10" t="s">
        <v>499</v>
      </c>
      <c r="D15" s="10" t="s">
        <v>508</v>
      </c>
      <c r="E15" s="10" t="s">
        <v>509</v>
      </c>
    </row>
    <row r="16" customFormat="false" ht="15" hidden="false" customHeight="false" outlineLevel="0" collapsed="false">
      <c r="A16" s="15" t="s">
        <v>510</v>
      </c>
      <c r="B16" s="15" t="s">
        <v>511</v>
      </c>
      <c r="C16" s="15" t="s">
        <v>478</v>
      </c>
      <c r="D16" s="15" t="s">
        <v>512</v>
      </c>
      <c r="E16" s="15" t="s">
        <v>513</v>
      </c>
    </row>
    <row r="17" customFormat="false" ht="15" hidden="false" customHeight="false" outlineLevel="0" collapsed="false">
      <c r="A17" s="10" t="s">
        <v>514</v>
      </c>
      <c r="B17" s="10" t="s">
        <v>515</v>
      </c>
      <c r="C17" s="10" t="s">
        <v>478</v>
      </c>
      <c r="D17" s="10" t="s">
        <v>516</v>
      </c>
      <c r="E17" s="10" t="s">
        <v>517</v>
      </c>
    </row>
    <row r="18" customFormat="false" ht="15" hidden="false" customHeight="false" outlineLevel="0" collapsed="false">
      <c r="A18" s="15" t="s">
        <v>518</v>
      </c>
      <c r="B18" s="15" t="s">
        <v>519</v>
      </c>
      <c r="C18" s="15" t="s">
        <v>478</v>
      </c>
      <c r="D18" s="15" t="s">
        <v>520</v>
      </c>
      <c r="E18" s="15" t="s">
        <v>521</v>
      </c>
    </row>
    <row r="19" customFormat="false" ht="15" hidden="false" customHeight="false" outlineLevel="0" collapsed="false">
      <c r="A19" s="10" t="s">
        <v>522</v>
      </c>
      <c r="B19" s="10" t="s">
        <v>523</v>
      </c>
      <c r="C19" s="10" t="s">
        <v>478</v>
      </c>
      <c r="D19" s="10" t="s">
        <v>524</v>
      </c>
      <c r="E19" s="10" t="s">
        <v>525</v>
      </c>
    </row>
    <row r="20" customFormat="false" ht="15" hidden="false" customHeight="false" outlineLevel="0" collapsed="false">
      <c r="A20" s="15" t="s">
        <v>526</v>
      </c>
      <c r="B20" s="15" t="s">
        <v>527</v>
      </c>
      <c r="C20" s="15" t="s">
        <v>478</v>
      </c>
      <c r="D20" s="15" t="s">
        <v>528</v>
      </c>
      <c r="E20" s="15" t="s">
        <v>529</v>
      </c>
    </row>
    <row r="21" customFormat="false" ht="15" hidden="false" customHeight="false" outlineLevel="0" collapsed="false">
      <c r="A21" s="10" t="s">
        <v>530</v>
      </c>
      <c r="B21" s="10" t="s">
        <v>531</v>
      </c>
      <c r="C21" s="10" t="s">
        <v>478</v>
      </c>
      <c r="D21" s="10" t="s">
        <v>532</v>
      </c>
      <c r="E21" s="10" t="s">
        <v>533</v>
      </c>
    </row>
    <row r="22" customFormat="false" ht="15" hidden="false" customHeight="false" outlineLevel="0" collapsed="false">
      <c r="A22" s="15" t="s">
        <v>534</v>
      </c>
      <c r="B22" s="15" t="s">
        <v>535</v>
      </c>
      <c r="C22" s="15" t="s">
        <v>478</v>
      </c>
      <c r="D22" s="15" t="s">
        <v>536</v>
      </c>
      <c r="E22" s="15" t="s">
        <v>537</v>
      </c>
    </row>
    <row r="23" customFormat="false" ht="15" hidden="false" customHeight="false" outlineLevel="0" collapsed="false">
      <c r="A23" s="10" t="s">
        <v>538</v>
      </c>
      <c r="B23" s="10" t="s">
        <v>539</v>
      </c>
      <c r="C23" s="10" t="s">
        <v>473</v>
      </c>
      <c r="D23" s="10" t="s">
        <v>538</v>
      </c>
      <c r="E23" s="10" t="s">
        <v>540</v>
      </c>
    </row>
    <row r="24" customFormat="false" ht="15" hidden="false" customHeight="false" outlineLevel="0" collapsed="false">
      <c r="A24" s="15" t="s">
        <v>541</v>
      </c>
      <c r="B24" s="15" t="s">
        <v>542</v>
      </c>
      <c r="C24" s="15" t="s">
        <v>478</v>
      </c>
      <c r="D24" s="15" t="s">
        <v>543</v>
      </c>
      <c r="E24" s="15" t="s">
        <v>544</v>
      </c>
    </row>
  </sheetData>
  <autoFilter ref="A4:E2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6" min="6" style="0" width="55"/>
  </cols>
  <sheetData>
    <row r="1" customFormat="false" ht="30" hidden="false" customHeight="true" outlineLevel="0" collapsed="false">
      <c r="A1" s="7" t="s">
        <v>545</v>
      </c>
      <c r="B1" s="7"/>
      <c r="C1" s="7"/>
      <c r="D1" s="7"/>
      <c r="E1" s="7"/>
      <c r="F1" s="7"/>
    </row>
    <row r="2" customFormat="false" ht="30" hidden="false" customHeight="true" outlineLevel="0" collapsed="false">
      <c r="A2" s="8" t="s">
        <v>546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23</v>
      </c>
      <c r="B4" s="9" t="s">
        <v>547</v>
      </c>
      <c r="C4" s="9" t="s">
        <v>548</v>
      </c>
      <c r="D4" s="9" t="s">
        <v>549</v>
      </c>
      <c r="E4" s="9" t="s">
        <v>28</v>
      </c>
      <c r="F4" s="9" t="s">
        <v>461</v>
      </c>
    </row>
    <row r="5" customFormat="false" ht="15" hidden="false" customHeight="false" outlineLevel="0" collapsed="false">
      <c r="A5" s="10" t="s">
        <v>550</v>
      </c>
      <c r="B5" s="10" t="s">
        <v>551</v>
      </c>
      <c r="C5" s="10" t="s">
        <v>552</v>
      </c>
      <c r="D5" s="10" t="s">
        <v>553</v>
      </c>
      <c r="E5" s="10" t="n">
        <v>1</v>
      </c>
      <c r="F5" s="10" t="s">
        <v>554</v>
      </c>
    </row>
    <row r="6" customFormat="false" ht="15" hidden="false" customHeight="false" outlineLevel="0" collapsed="false">
      <c r="A6" s="15" t="s">
        <v>555</v>
      </c>
      <c r="B6" s="15" t="s">
        <v>556</v>
      </c>
      <c r="C6" s="15" t="s">
        <v>552</v>
      </c>
      <c r="D6" s="15" t="s">
        <v>557</v>
      </c>
      <c r="E6" s="15" t="n">
        <v>2</v>
      </c>
      <c r="F6" s="15" t="s">
        <v>558</v>
      </c>
    </row>
    <row r="7" customFormat="false" ht="15" hidden="false" customHeight="false" outlineLevel="0" collapsed="false">
      <c r="A7" s="10" t="s">
        <v>559</v>
      </c>
      <c r="B7" s="10" t="s">
        <v>560</v>
      </c>
      <c r="C7" s="10" t="s">
        <v>552</v>
      </c>
      <c r="D7" s="10" t="s">
        <v>561</v>
      </c>
      <c r="E7" s="10" t="n">
        <v>2</v>
      </c>
      <c r="F7" s="10" t="s">
        <v>562</v>
      </c>
    </row>
    <row r="8" customFormat="false" ht="15" hidden="false" customHeight="false" outlineLevel="0" collapsed="false">
      <c r="A8" s="15" t="s">
        <v>563</v>
      </c>
      <c r="B8" s="15" t="s">
        <v>564</v>
      </c>
      <c r="C8" s="15" t="s">
        <v>552</v>
      </c>
      <c r="D8" s="15" t="s">
        <v>565</v>
      </c>
      <c r="E8" s="15" t="n">
        <v>2</v>
      </c>
      <c r="F8" s="15" t="s">
        <v>566</v>
      </c>
    </row>
    <row r="9" customFormat="false" ht="15" hidden="false" customHeight="false" outlineLevel="0" collapsed="false">
      <c r="A9" s="10" t="s">
        <v>567</v>
      </c>
      <c r="B9" s="10" t="s">
        <v>568</v>
      </c>
      <c r="C9" s="10" t="s">
        <v>552</v>
      </c>
      <c r="D9" s="10" t="s">
        <v>569</v>
      </c>
      <c r="E9" s="10" t="n">
        <v>1</v>
      </c>
      <c r="F9" s="10" t="s">
        <v>570</v>
      </c>
    </row>
    <row r="10" customFormat="false" ht="15" hidden="false" customHeight="false" outlineLevel="0" collapsed="false">
      <c r="A10" s="15" t="s">
        <v>571</v>
      </c>
      <c r="B10" s="15" t="s">
        <v>572</v>
      </c>
      <c r="C10" s="15" t="s">
        <v>552</v>
      </c>
      <c r="D10" s="15" t="s">
        <v>553</v>
      </c>
      <c r="E10" s="15" t="n">
        <v>2</v>
      </c>
      <c r="F10" s="15" t="s">
        <v>573</v>
      </c>
    </row>
    <row r="11" customFormat="false" ht="15" hidden="false" customHeight="false" outlineLevel="0" collapsed="false">
      <c r="A11" s="10" t="s">
        <v>574</v>
      </c>
      <c r="B11" s="10" t="s">
        <v>575</v>
      </c>
      <c r="C11" s="10" t="s">
        <v>552</v>
      </c>
      <c r="D11" s="10" t="s">
        <v>576</v>
      </c>
      <c r="E11" s="10" t="n">
        <v>1</v>
      </c>
      <c r="F11" s="10" t="s">
        <v>577</v>
      </c>
    </row>
    <row r="12" customFormat="false" ht="15" hidden="false" customHeight="false" outlineLevel="0" collapsed="false">
      <c r="A12" s="15" t="s">
        <v>578</v>
      </c>
      <c r="B12" s="15" t="s">
        <v>579</v>
      </c>
      <c r="C12" s="15" t="s">
        <v>552</v>
      </c>
      <c r="D12" s="15" t="s">
        <v>580</v>
      </c>
      <c r="E12" s="15" t="n">
        <v>2</v>
      </c>
      <c r="F12" s="15" t="s">
        <v>581</v>
      </c>
    </row>
    <row r="13" customFormat="false" ht="15" hidden="false" customHeight="false" outlineLevel="0" collapsed="false">
      <c r="A13" s="10" t="s">
        <v>582</v>
      </c>
      <c r="B13" s="10" t="s">
        <v>583</v>
      </c>
      <c r="C13" s="10" t="s">
        <v>552</v>
      </c>
      <c r="D13" s="10" t="s">
        <v>565</v>
      </c>
      <c r="E13" s="10" t="n">
        <v>1</v>
      </c>
      <c r="F13" s="10" t="s">
        <v>584</v>
      </c>
    </row>
    <row r="14" customFormat="false" ht="15" hidden="false" customHeight="false" outlineLevel="0" collapsed="false">
      <c r="A14" s="15" t="s">
        <v>585</v>
      </c>
      <c r="B14" s="15" t="s">
        <v>586</v>
      </c>
      <c r="C14" s="15" t="s">
        <v>552</v>
      </c>
      <c r="D14" s="15" t="s">
        <v>587</v>
      </c>
      <c r="E14" s="15" t="n">
        <v>2</v>
      </c>
      <c r="F14" s="15" t="s">
        <v>588</v>
      </c>
    </row>
    <row r="15" customFormat="false" ht="15" hidden="false" customHeight="false" outlineLevel="0" collapsed="false">
      <c r="A15" s="10" t="s">
        <v>589</v>
      </c>
      <c r="B15" s="10" t="s">
        <v>590</v>
      </c>
      <c r="C15" s="10" t="s">
        <v>552</v>
      </c>
      <c r="D15" s="10" t="s">
        <v>591</v>
      </c>
      <c r="E15" s="10" t="n">
        <v>2</v>
      </c>
      <c r="F15" s="10" t="s">
        <v>592</v>
      </c>
    </row>
    <row r="16" customFormat="false" ht="15" hidden="false" customHeight="false" outlineLevel="0" collapsed="false">
      <c r="A16" s="15" t="s">
        <v>593</v>
      </c>
      <c r="B16" s="15" t="s">
        <v>594</v>
      </c>
      <c r="C16" s="15" t="s">
        <v>552</v>
      </c>
      <c r="D16" s="15" t="s">
        <v>595</v>
      </c>
      <c r="E16" s="15" t="n">
        <v>1</v>
      </c>
      <c r="F16" s="15" t="s">
        <v>596</v>
      </c>
    </row>
    <row r="17" customFormat="false" ht="15" hidden="false" customHeight="false" outlineLevel="0" collapsed="false">
      <c r="A17" s="10" t="s">
        <v>597</v>
      </c>
      <c r="B17" s="10" t="s">
        <v>598</v>
      </c>
      <c r="C17" s="10" t="s">
        <v>599</v>
      </c>
      <c r="D17" s="10" t="s">
        <v>600</v>
      </c>
      <c r="E17" s="10" t="n">
        <v>1</v>
      </c>
      <c r="F17" s="10" t="s">
        <v>601</v>
      </c>
    </row>
    <row r="18" customFormat="false" ht="15" hidden="false" customHeight="false" outlineLevel="0" collapsed="false">
      <c r="A18" s="15" t="s">
        <v>602</v>
      </c>
      <c r="B18" s="15" t="s">
        <v>603</v>
      </c>
      <c r="C18" s="15" t="s">
        <v>604</v>
      </c>
      <c r="D18" s="15" t="s">
        <v>553</v>
      </c>
      <c r="E18" s="15" t="n">
        <v>1</v>
      </c>
      <c r="F18" s="15" t="s">
        <v>605</v>
      </c>
    </row>
    <row r="19" customFormat="false" ht="15" hidden="false" customHeight="false" outlineLevel="0" collapsed="false">
      <c r="A19" s="10" t="s">
        <v>606</v>
      </c>
      <c r="B19" s="10" t="s">
        <v>607</v>
      </c>
      <c r="C19" s="10" t="s">
        <v>552</v>
      </c>
      <c r="D19" s="10" t="s">
        <v>553</v>
      </c>
      <c r="E19" s="10" t="n">
        <v>1</v>
      </c>
      <c r="F19" s="10" t="s">
        <v>608</v>
      </c>
    </row>
    <row r="20" customFormat="false" ht="15" hidden="false" customHeight="false" outlineLevel="0" collapsed="false">
      <c r="A20" s="15" t="s">
        <v>609</v>
      </c>
      <c r="B20" s="15" t="s">
        <v>610</v>
      </c>
      <c r="C20" s="15" t="s">
        <v>611</v>
      </c>
      <c r="D20" s="15" t="s">
        <v>612</v>
      </c>
      <c r="E20" s="15" t="n">
        <v>4</v>
      </c>
      <c r="F20" s="15" t="s">
        <v>613</v>
      </c>
    </row>
    <row r="21" customFormat="false" ht="15" hidden="false" customHeight="false" outlineLevel="0" collapsed="false">
      <c r="A21" s="10" t="s">
        <v>614</v>
      </c>
      <c r="B21" s="10" t="s">
        <v>615</v>
      </c>
      <c r="C21" s="10" t="s">
        <v>611</v>
      </c>
      <c r="D21" s="10" t="s">
        <v>616</v>
      </c>
      <c r="E21" s="10" t="n">
        <v>1</v>
      </c>
      <c r="F21" s="10" t="s">
        <v>617</v>
      </c>
    </row>
    <row r="22" customFormat="false" ht="15" hidden="false" customHeight="false" outlineLevel="0" collapsed="false">
      <c r="A22" s="15" t="s">
        <v>618</v>
      </c>
      <c r="B22" s="15" t="s">
        <v>619</v>
      </c>
      <c r="C22" s="15" t="s">
        <v>611</v>
      </c>
      <c r="D22" s="15" t="s">
        <v>576</v>
      </c>
      <c r="E22" s="15" t="n">
        <v>1</v>
      </c>
      <c r="F22" s="15" t="s">
        <v>620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6"/>
  </cols>
  <sheetData>
    <row r="1" customFormat="false" ht="30" hidden="false" customHeight="true" outlineLevel="0" collapsed="false">
      <c r="A1" s="7" t="s">
        <v>621</v>
      </c>
      <c r="B1" s="7"/>
      <c r="C1" s="7"/>
      <c r="D1" s="7"/>
    </row>
    <row r="2" customFormat="false" ht="30" hidden="false" customHeight="true" outlineLevel="0" collapsed="false">
      <c r="A2" s="8" t="s">
        <v>622</v>
      </c>
      <c r="B2" s="8"/>
      <c r="C2" s="8"/>
      <c r="D2" s="8"/>
    </row>
    <row r="4" customFormat="false" ht="15" hidden="false" customHeight="false" outlineLevel="0" collapsed="false">
      <c r="A4" s="9" t="s">
        <v>623</v>
      </c>
      <c r="B4" s="9" t="s">
        <v>624</v>
      </c>
      <c r="C4" s="9" t="s">
        <v>625</v>
      </c>
      <c r="D4" s="9" t="s">
        <v>626</v>
      </c>
    </row>
    <row r="5" customFormat="false" ht="15" hidden="false" customHeight="false" outlineLevel="0" collapsed="false">
      <c r="A5" s="10" t="s">
        <v>627</v>
      </c>
      <c r="B5" s="10" t="s">
        <v>628</v>
      </c>
      <c r="C5" s="10" t="s">
        <v>629</v>
      </c>
      <c r="D5" s="10" t="s">
        <v>630</v>
      </c>
    </row>
    <row r="6" customFormat="false" ht="15" hidden="false" customHeight="false" outlineLevel="0" collapsed="false">
      <c r="A6" s="15" t="s">
        <v>631</v>
      </c>
      <c r="B6" s="15" t="s">
        <v>632</v>
      </c>
      <c r="C6" s="15" t="s">
        <v>633</v>
      </c>
      <c r="D6" s="15" t="s">
        <v>634</v>
      </c>
    </row>
    <row r="7" customFormat="false" ht="15" hidden="false" customHeight="false" outlineLevel="0" collapsed="false">
      <c r="A7" s="10" t="s">
        <v>635</v>
      </c>
      <c r="B7" s="10" t="s">
        <v>636</v>
      </c>
      <c r="C7" s="10" t="s">
        <v>637</v>
      </c>
      <c r="D7" s="10" t="s">
        <v>638</v>
      </c>
    </row>
    <row r="8" customFormat="false" ht="15" hidden="false" customHeight="false" outlineLevel="0" collapsed="false">
      <c r="A8" s="15" t="s">
        <v>639</v>
      </c>
      <c r="B8" s="15" t="s">
        <v>640</v>
      </c>
      <c r="C8" s="15" t="s">
        <v>641</v>
      </c>
      <c r="D8" s="15" t="s">
        <v>642</v>
      </c>
    </row>
    <row r="9" customFormat="false" ht="15" hidden="false" customHeight="false" outlineLevel="0" collapsed="false">
      <c r="A9" s="10" t="s">
        <v>643</v>
      </c>
      <c r="B9" s="10" t="s">
        <v>644</v>
      </c>
      <c r="C9" s="10" t="s">
        <v>645</v>
      </c>
      <c r="D9" s="10" t="s">
        <v>646</v>
      </c>
    </row>
    <row r="10" customFormat="false" ht="15" hidden="false" customHeight="false" outlineLevel="0" collapsed="false">
      <c r="A10" s="15" t="s">
        <v>647</v>
      </c>
      <c r="B10" s="15" t="s">
        <v>648</v>
      </c>
      <c r="C10" s="15" t="s">
        <v>649</v>
      </c>
      <c r="D10" s="15" t="s">
        <v>650</v>
      </c>
    </row>
    <row r="11" customFormat="false" ht="15" hidden="false" customHeight="false" outlineLevel="0" collapsed="false">
      <c r="A11" s="10" t="s">
        <v>651</v>
      </c>
      <c r="B11" s="10" t="s">
        <v>652</v>
      </c>
      <c r="C11" s="10" t="s">
        <v>653</v>
      </c>
      <c r="D11" s="10" t="s">
        <v>654</v>
      </c>
    </row>
    <row r="12" customFormat="false" ht="15" hidden="false" customHeight="false" outlineLevel="0" collapsed="false">
      <c r="A12" s="15" t="s">
        <v>655</v>
      </c>
      <c r="B12" s="15" t="s">
        <v>656</v>
      </c>
      <c r="C12" s="15" t="s">
        <v>657</v>
      </c>
      <c r="D12" s="15" t="s">
        <v>658</v>
      </c>
    </row>
    <row r="13" customFormat="false" ht="15" hidden="false" customHeight="false" outlineLevel="0" collapsed="false">
      <c r="A13" s="10" t="s">
        <v>659</v>
      </c>
      <c r="B13" s="10" t="s">
        <v>660</v>
      </c>
      <c r="C13" s="10" t="s">
        <v>661</v>
      </c>
      <c r="D13" s="10" t="s">
        <v>662</v>
      </c>
    </row>
    <row r="14" customFormat="false" ht="15" hidden="false" customHeight="false" outlineLevel="0" collapsed="false">
      <c r="A14" s="15" t="s">
        <v>663</v>
      </c>
      <c r="B14" s="15" t="s">
        <v>664</v>
      </c>
      <c r="C14" s="15" t="s">
        <v>665</v>
      </c>
      <c r="D14" s="15" t="s">
        <v>666</v>
      </c>
    </row>
    <row r="15" customFormat="false" ht="15" hidden="false" customHeight="false" outlineLevel="0" collapsed="false">
      <c r="A15" s="10" t="s">
        <v>667</v>
      </c>
      <c r="B15" s="10" t="s">
        <v>668</v>
      </c>
      <c r="C15" s="10" t="s">
        <v>669</v>
      </c>
      <c r="D15" s="10" t="s">
        <v>670</v>
      </c>
    </row>
    <row r="16" customFormat="false" ht="15" hidden="false" customHeight="false" outlineLevel="0" collapsed="false">
      <c r="A16" s="15" t="s">
        <v>671</v>
      </c>
      <c r="B16" s="15" t="s">
        <v>672</v>
      </c>
      <c r="C16" s="15" t="s">
        <v>673</v>
      </c>
      <c r="D16" s="15" t="s">
        <v>674</v>
      </c>
    </row>
    <row r="17" customFormat="false" ht="15" hidden="false" customHeight="false" outlineLevel="0" collapsed="false">
      <c r="A17" s="10" t="s">
        <v>675</v>
      </c>
      <c r="B17" s="10" t="s">
        <v>676</v>
      </c>
      <c r="C17" s="10" t="s">
        <v>677</v>
      </c>
      <c r="D17" s="10" t="s">
        <v>678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2026-10-29T15:33:29Z</dcterms:created>
  <dc:creator>openpyxl</dc:creator>
  <dc:description/>
  <dc:language>en-US</dc:language>
  <cp:lastModifiedBy/>
  <dcterms:modified xsi:type="dcterms:W3CDTF">2026-10-29T15:33:29Z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