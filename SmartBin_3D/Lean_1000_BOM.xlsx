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n 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<sst xmlns="http://schemas.openxmlformats.org/spreadsheetml/2006/main" count="76" uniqueCount="76">
  <si>
    <t xml:space="preserve">Lean Smart Bin — target BOM &lt;= HK$1,000</t>
  </si>
  <si>
    <t xml:space="preserve">Assumes you already own a laptop for vision/AI and a phone for the web app. Laptop is NOT in this BOM.</t>
  </si>
  <si>
    <t xml:space="preserve">Item</t>
  </si>
  <si>
    <t xml:space="preserve">Specification</t>
  </si>
  <si>
    <t xml:space="preserve">Qty</t>
  </si>
  <si>
    <t xml:space="preserve">Unit (HKD)</t>
  </si>
  <si>
    <t xml:space="preserve">Total (HKD)</t>
  </si>
  <si>
    <t xml:space="preserve">Note</t>
  </si>
  <si>
    <t xml:space="preserve">ESP32 DevKit V1</t>
  </si>
  <si>
    <t xml:space="preserve">30-pin, WiFi, USB</t>
  </si>
  <si>
    <t xml:space="preserve">Controller; no Raspberry Pi</t>
  </si>
  <si>
    <t xml:space="preserve">ESP32-S3-CAM</t>
  </si>
  <si>
    <t xml:space="preserve">8 MB PSRAM, 16 MB flash, OV2640, WiFi</t>
  </si>
  <si>
    <t xml:space="preserve">On-device MobileNetV2; no laptop</t>
  </si>
  <si>
    <t xml:space="preserve">5 kg load cell + HX711</t>
  </si>
  <si>
    <t xml:space="preserve">Single-point cell, 24-bit ADC</t>
  </si>
  <si>
    <t xml:space="preserve">Fixed weigh platform</t>
  </si>
  <si>
    <t xml:space="preserve">NEMA 17 stepper</t>
  </si>
  <si>
    <t xml:space="preserve">42BYGH, 0.45 Nm, 1.7 A</t>
  </si>
  <si>
    <t xml:space="preserve">Rotate spout; 3:1 GT2 belt</t>
  </si>
  <si>
    <t xml:space="preserve">A4988 driver</t>
  </si>
  <si>
    <t xml:space="preserve">With heatsink; 1/8 microstep</t>
  </si>
  <si>
    <t xml:space="preserve">Set Vref ~0.64 V</t>
  </si>
  <si>
    <t xml:space="preserve">MG996R servo</t>
  </si>
  <si>
    <t xml:space="preserve">Metal gear, 10 kg-cm</t>
  </si>
  <si>
    <t xml:space="preserve">Trapdoor; spring-assisted</t>
  </si>
  <si>
    <t xml:space="preserve">IR break-beam</t>
  </si>
  <si>
    <t xml:space="preserve">940 nm LED + receiver</t>
  </si>
  <si>
    <t xml:space="preserve">Item/hand detection at mouth</t>
  </si>
  <si>
    <t xml:space="preserve">Capacitive moisture sensor</t>
  </si>
  <si>
    <t xml:space="preserve">3.3 V analog, corrosion-resistant</t>
  </si>
  <si>
    <t xml:space="preserve">Wet/dry evidence on door</t>
  </si>
  <si>
    <t xml:space="preserve">OLED 0.96" SSD1306</t>
  </si>
  <si>
    <t xml:space="preserve">I2C, 128x64</t>
  </si>
  <si>
    <t xml:space="preserve">Class / weight / state; no laptop</t>
  </si>
  <si>
    <t xml:space="preserve">IR obstacle sensors x4</t>
  </si>
  <si>
    <t xml:space="preserve">FC-51 or equivalent</t>
  </si>
  <si>
    <t xml:space="preserve">Bin-full at fixed height</t>
  </si>
  <si>
    <t xml:space="preserve">microSD 16 GB</t>
  </si>
  <si>
    <t xml:space="preserve">Class 10, SPI</t>
  </si>
  <si>
    <t xml:space="preserve">Logs + local dataset</t>
  </si>
  <si>
    <t xml:space="preserve">Microswitches</t>
  </si>
  <si>
    <t xml:space="preserve">Lid, home, door</t>
  </si>
  <si>
    <t xml:space="preserve">Interlocks / homing</t>
  </si>
  <si>
    <t xml:space="preserve">12 V 3 A adapter</t>
  </si>
  <si>
    <t xml:space="preserve">CE/BS marked, 5.5x2.1 mm</t>
  </si>
  <si>
    <t xml:space="preserve">NEMA17 + buck; no Li-ion</t>
  </si>
  <si>
    <t xml:space="preserve">5 V 3 A buck</t>
  </si>
  <si>
    <t xml:space="preserve">12 V -&gt; 5 V, terminals</t>
  </si>
  <si>
    <t xml:space="preserve">ESP32 / servo / sensors</t>
  </si>
  <si>
    <t xml:space="preserve">Plywood / acrylic</t>
  </si>
  <si>
    <t xml:space="preserve">5-12 mm offcuts, 420x900-ish</t>
  </si>
  <si>
    <t xml:space="preserve">Frame and panels</t>
  </si>
  <si>
    <t xml:space="preserve">3D-printed brackets</t>
  </si>
  <si>
    <t xml:space="preserve">PETG, ~0.5 kg</t>
  </si>
  <si>
    <t xml:space="preserve">Spout collar, sensor mounts, hinges</t>
  </si>
  <si>
    <t xml:space="preserve">Bins x4</t>
  </si>
  <si>
    <t xml:space="preserve">Reused 5-8 L containers</t>
  </si>
  <si>
    <t xml:space="preserve">No notches needed; standard bins</t>
  </si>
  <si>
    <t xml:space="preserve">Hinges, handle, fasteners</t>
  </si>
  <si>
    <t xml:space="preserve">Piano hinge, M3/M4 screws, feet</t>
  </si>
  <si>
    <t xml:space="preserve">Assembly</t>
  </si>
  <si>
    <t xml:space="preserve">Wire, connectors, heatshrink</t>
  </si>
  <si>
    <t xml:space="preserve">Dupont/JST, 22-24 AWG</t>
  </si>
  <si>
    <t xml:space="preserve">Wiring</t>
  </si>
  <si>
    <t xml:space="preserve">Labels / tape</t>
  </si>
  <si>
    <t xml:space="preserve">Colour + icon + text</t>
  </si>
  <si>
    <t xml:space="preserve">Bin labels</t>
  </si>
  <si>
    <t xml:space="preserve">Misc / spare</t>
  </si>
  <si>
    <t xml:space="preserve">Spare servo, fuse, cable ties</t>
  </si>
  <si>
    <t xml:space="preserve">Contingency</t>
  </si>
  <si>
    <r>
      <rPr>
        <b val="true"/>
        <sz val="11"/>
        <color rgb="FFFFFFFF"/>
        <rFont val="Calibri"/>
        <family val="0"/>
        <charset val="1"/>
      </rPr>
      <t xml:space="preserve">Subtotal / </t>
    </r>
    <r>
      <rPr>
        <b val="true"/>
        <sz val="11"/>
        <color rgb="FFFFFFFF"/>
        <rFont val="Noto Sans SC"/>
        <family val="2"/>
      </rPr>
      <t xml:space="preserve">小計</t>
    </r>
  </si>
  <si>
    <t xml:space="preserve">Subtotal</t>
  </si>
  <si>
    <t xml:space="preserve">15% contingency</t>
  </si>
  <si>
    <t xml:space="preserve">TOTAL (target &lt;= 1,000)</t>
  </si>
  <si>
    <t xml:space="preserve">If you must buy a laptop/tablet for AI, the budget cannot stay under HK$1,000. This design explicitly assumes an owned laptop.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</si>
</sst>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45"/>
      <name val="Calibri"/>
      <family val="0"/>
      <charset val="1"/>
    </font>
    <font>
      <i val="true"/>
      <sz val="10"/>
      <color rgb="FF5A677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.5"/>
      <color rgb="FF1F293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Noto Sans SC"/>
      <family val="2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B03A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45"/>
        <bgColor rgb="FF1F2937"/>
      </patternFill>
    </fill>
    <fill>
      <patternFill patternType="solid">
        <fgColor rgb="FFF7F9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03A3A"/>
      <rgbColor rgb="FFF7F9F8"/>
      <rgbColor rgb="FFCCFFFF"/>
      <rgbColor rgb="FF660066"/>
      <rgbColor rgb="FFFF8080"/>
      <rgbColor rgb="FF0066CC"/>
      <rgbColor rgb="FFD9DE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778"/>
      <rgbColor rgb="FF969696"/>
      <rgbColor rgb="FF1F4E45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1</v>
      </c>
      <c r="D5" s="6" t="n">
        <v>45</v>
      </c>
      <c r="E5" s="6" t="n">
        <f aca="false">C5*D5</f>
        <v>45</v>
      </c>
      <c r="F5" s="4" t="s">
        <v>10</v>
      </c>
    </row>
    <row r="6" customFormat="false" ht="15" hidden="false" customHeight="false" outlineLevel="0" collapsed="false">
      <c r="A6" s="7" t="s">
        <v>11</v>
      </c>
      <c r="B6" s="7" t="s">
        <v>12</v>
      </c>
      <c r="C6" s="8" t="n">
        <v>1</v>
      </c>
      <c r="D6" s="9" t="n">
        <v>120</v>
      </c>
      <c r="E6" s="9" t="n">
        <f aca="false">C6*D6</f>
        <v>120</v>
      </c>
      <c r="F6" s="7" t="s">
        <v>13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n">
        <v>1</v>
      </c>
      <c r="D7" s="6" t="n">
        <v>35</v>
      </c>
      <c r="E7" s="6" t="n">
        <f aca="false">C7*D7</f>
        <v>35</v>
      </c>
      <c r="F7" s="4" t="s">
        <v>16</v>
      </c>
    </row>
    <row r="8" customFormat="false" ht="15" hidden="false" customHeight="false" outlineLevel="0" collapsed="false">
      <c r="A8" s="7" t="s">
        <v>17</v>
      </c>
      <c r="B8" s="7" t="s">
        <v>18</v>
      </c>
      <c r="C8" s="8" t="n">
        <v>1</v>
      </c>
      <c r="D8" s="9" t="n">
        <v>75</v>
      </c>
      <c r="E8" s="9" t="n">
        <f aca="false">C8*D8</f>
        <v>75</v>
      </c>
      <c r="F8" s="7" t="s">
        <v>19</v>
      </c>
    </row>
    <row r="9" customFormat="false" ht="15" hidden="false" customHeight="false" outlineLevel="0" collapsed="false">
      <c r="A9" s="4" t="s">
        <v>20</v>
      </c>
      <c r="B9" s="4" t="s">
        <v>21</v>
      </c>
      <c r="C9" s="5" t="n">
        <v>1</v>
      </c>
      <c r="D9" s="6" t="n">
        <v>18</v>
      </c>
      <c r="E9" s="6" t="n">
        <f aca="false">C9*D9</f>
        <v>18</v>
      </c>
      <c r="F9" s="4" t="s">
        <v>22</v>
      </c>
    </row>
    <row r="10" customFormat="false" ht="15" hidden="false" customHeight="false" outlineLevel="0" collapsed="false">
      <c r="A10" s="7" t="s">
        <v>23</v>
      </c>
      <c r="B10" s="7" t="s">
        <v>24</v>
      </c>
      <c r="C10" s="8" t="n">
        <v>1</v>
      </c>
      <c r="D10" s="9" t="n">
        <v>35</v>
      </c>
      <c r="E10" s="9" t="n">
        <f aca="false">C10*D10</f>
        <v>35</v>
      </c>
      <c r="F10" s="7" t="s">
        <v>25</v>
      </c>
    </row>
    <row r="11" customFormat="false" ht="15" hidden="false" customHeight="false" outlineLevel="0" collapsed="false">
      <c r="A11" s="4" t="s">
        <v>26</v>
      </c>
      <c r="B11" s="4" t="s">
        <v>27</v>
      </c>
      <c r="C11" s="5" t="n">
        <v>1</v>
      </c>
      <c r="D11" s="6" t="n">
        <v>15</v>
      </c>
      <c r="E11" s="6" t="n">
        <f aca="false">C11*D11</f>
        <v>15</v>
      </c>
      <c r="F11" s="4" t="s">
        <v>28</v>
      </c>
    </row>
    <row r="12" customFormat="false" ht="15" hidden="false" customHeight="false" outlineLevel="0" collapsed="false">
      <c r="A12" s="7" t="s">
        <v>29</v>
      </c>
      <c r="B12" s="7" t="s">
        <v>30</v>
      </c>
      <c r="C12" s="8" t="n">
        <v>1</v>
      </c>
      <c r="D12" s="9" t="n">
        <v>15</v>
      </c>
      <c r="E12" s="9" t="n">
        <f aca="false">C12*D12</f>
        <v>15</v>
      </c>
      <c r="F12" s="7" t="s">
        <v>31</v>
      </c>
    </row>
    <row r="13" customFormat="false" ht="15" hidden="false" customHeight="false" outlineLevel="0" collapsed="false">
      <c r="A13" s="4" t="s">
        <v>32</v>
      </c>
      <c r="B13" s="4" t="s">
        <v>33</v>
      </c>
      <c r="C13" s="5" t="n">
        <v>1</v>
      </c>
      <c r="D13" s="6" t="n">
        <v>20</v>
      </c>
      <c r="E13" s="6" t="n">
        <f aca="false">C13*D13</f>
        <v>20</v>
      </c>
      <c r="F13" s="4" t="s">
        <v>34</v>
      </c>
    </row>
    <row r="14" customFormat="false" ht="15" hidden="false" customHeight="false" outlineLevel="0" collapsed="false">
      <c r="A14" s="7" t="s">
        <v>35</v>
      </c>
      <c r="B14" s="7" t="s">
        <v>36</v>
      </c>
      <c r="C14" s="8" t="n">
        <v>4</v>
      </c>
      <c r="D14" s="9" t="n">
        <v>5</v>
      </c>
      <c r="E14" s="9" t="n">
        <f aca="false">C14*D14</f>
        <v>20</v>
      </c>
      <c r="F14" s="7" t="s">
        <v>37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5" t="n">
        <v>1</v>
      </c>
      <c r="D15" s="6" t="n">
        <v>15</v>
      </c>
      <c r="E15" s="6" t="n">
        <f aca="false">C15*D15</f>
        <v>15</v>
      </c>
      <c r="F15" s="4" t="s">
        <v>40</v>
      </c>
    </row>
    <row r="16" customFormat="false" ht="15" hidden="false" customHeight="false" outlineLevel="0" collapsed="false">
      <c r="A16" s="7" t="s">
        <v>41</v>
      </c>
      <c r="B16" s="7" t="s">
        <v>42</v>
      </c>
      <c r="C16" s="8" t="n">
        <v>3</v>
      </c>
      <c r="D16" s="9" t="n">
        <v>3</v>
      </c>
      <c r="E16" s="9" t="n">
        <f aca="false">C16*D16</f>
        <v>9</v>
      </c>
      <c r="F16" s="7" t="s">
        <v>43</v>
      </c>
    </row>
    <row r="17" customFormat="false" ht="15" hidden="false" customHeight="false" outlineLevel="0" collapsed="false">
      <c r="A17" s="4" t="s">
        <v>44</v>
      </c>
      <c r="B17" s="4" t="s">
        <v>45</v>
      </c>
      <c r="C17" s="5" t="n">
        <v>1</v>
      </c>
      <c r="D17" s="6" t="n">
        <v>45</v>
      </c>
      <c r="E17" s="6" t="n">
        <f aca="false">C17*D17</f>
        <v>45</v>
      </c>
      <c r="F17" s="4" t="s">
        <v>46</v>
      </c>
    </row>
    <row r="18" customFormat="false" ht="15" hidden="false" customHeight="false" outlineLevel="0" collapsed="false">
      <c r="A18" s="7" t="s">
        <v>47</v>
      </c>
      <c r="B18" s="7" t="s">
        <v>48</v>
      </c>
      <c r="C18" s="8" t="n">
        <v>1</v>
      </c>
      <c r="D18" s="9" t="n">
        <v>18</v>
      </c>
      <c r="E18" s="9" t="n">
        <f aca="false">C18*D18</f>
        <v>18</v>
      </c>
      <c r="F18" s="7" t="s">
        <v>49</v>
      </c>
    </row>
    <row r="19" customFormat="false" ht="15" hidden="false" customHeight="false" outlineLevel="0" collapsed="false">
      <c r="A19" s="4" t="s">
        <v>50</v>
      </c>
      <c r="B19" s="4" t="s">
        <v>51</v>
      </c>
      <c r="C19" s="5" t="n">
        <v>1</v>
      </c>
      <c r="D19" s="6" t="n">
        <v>160</v>
      </c>
      <c r="E19" s="6" t="n">
        <f aca="false">C19*D19</f>
        <v>160</v>
      </c>
      <c r="F19" s="4" t="s">
        <v>52</v>
      </c>
    </row>
    <row r="20" customFormat="false" ht="15" hidden="false" customHeight="false" outlineLevel="0" collapsed="false">
      <c r="A20" s="7" t="s">
        <v>53</v>
      </c>
      <c r="B20" s="7" t="s">
        <v>54</v>
      </c>
      <c r="C20" s="8" t="n">
        <v>1</v>
      </c>
      <c r="D20" s="9" t="n">
        <v>45</v>
      </c>
      <c r="E20" s="9" t="n">
        <f aca="false">C20*D20</f>
        <v>45</v>
      </c>
      <c r="F20" s="7" t="s">
        <v>55</v>
      </c>
    </row>
    <row r="21" customFormat="false" ht="15" hidden="false" customHeight="false" outlineLevel="0" collapsed="false">
      <c r="A21" s="4" t="s">
        <v>56</v>
      </c>
      <c r="B21" s="4" t="s">
        <v>57</v>
      </c>
      <c r="C21" s="5" t="n">
        <v>4</v>
      </c>
      <c r="D21" s="6" t="n">
        <v>9</v>
      </c>
      <c r="E21" s="6" t="n">
        <f aca="false">C21*D21</f>
        <v>36</v>
      </c>
      <c r="F21" s="4" t="s">
        <v>58</v>
      </c>
    </row>
    <row r="22" customFormat="false" ht="15" hidden="false" customHeight="false" outlineLevel="0" collapsed="false">
      <c r="A22" s="7" t="s">
        <v>59</v>
      </c>
      <c r="B22" s="7" t="s">
        <v>60</v>
      </c>
      <c r="C22" s="8" t="n">
        <v>1</v>
      </c>
      <c r="D22" s="9" t="n">
        <v>60</v>
      </c>
      <c r="E22" s="9" t="n">
        <f aca="false">C22*D22</f>
        <v>60</v>
      </c>
      <c r="F22" s="7" t="s">
        <v>61</v>
      </c>
    </row>
    <row r="23" customFormat="false" ht="15" hidden="false" customHeight="false" outlineLevel="0" collapsed="false">
      <c r="A23" s="4" t="s">
        <v>62</v>
      </c>
      <c r="B23" s="4" t="s">
        <v>63</v>
      </c>
      <c r="C23" s="5" t="n">
        <v>1</v>
      </c>
      <c r="D23" s="6" t="n">
        <v>45</v>
      </c>
      <c r="E23" s="6" t="n">
        <f aca="false">C23*D23</f>
        <v>45</v>
      </c>
      <c r="F23" s="4" t="s">
        <v>64</v>
      </c>
    </row>
    <row r="24" customFormat="false" ht="15" hidden="false" customHeight="false" outlineLevel="0" collapsed="false">
      <c r="A24" s="7" t="s">
        <v>65</v>
      </c>
      <c r="B24" s="7" t="s">
        <v>66</v>
      </c>
      <c r="C24" s="8" t="n">
        <v>1</v>
      </c>
      <c r="D24" s="9" t="n">
        <v>20</v>
      </c>
      <c r="E24" s="9" t="n">
        <f aca="false">C24*D24</f>
        <v>20</v>
      </c>
      <c r="F24" s="7" t="s">
        <v>67</v>
      </c>
    </row>
    <row r="25" customFormat="false" ht="15" hidden="false" customHeight="false" outlineLevel="0" collapsed="false">
      <c r="A25" s="4" t="s">
        <v>68</v>
      </c>
      <c r="B25" s="4" t="s">
        <v>69</v>
      </c>
      <c r="C25" s="5" t="n">
        <v>1</v>
      </c>
      <c r="D25" s="6" t="n">
        <v>15</v>
      </c>
      <c r="E25" s="6" t="n">
        <f aca="false">C25*D25</f>
        <v>15</v>
      </c>
      <c r="F25" s="4" t="s">
        <v>70</v>
      </c>
    </row>
    <row r="26" customFormat="false" ht="21.75" hidden="false" customHeight="true" outlineLevel="0" collapsed="false">
      <c r="A26" s="10" t="s">
        <v>71</v>
      </c>
      <c r="B26" s="10"/>
      <c r="C26" s="10"/>
      <c r="D26" s="10"/>
      <c r="E26" s="11" t="n">
        <f aca="false">SUM(E5:E25)</f>
        <v>866</v>
      </c>
      <c r="F26" s="12"/>
    </row>
    <row r="28" customFormat="false" ht="15" hidden="false" customHeight="false" outlineLevel="0" collapsed="false">
      <c r="A28" s="13" t="s">
        <v>72</v>
      </c>
      <c r="E28" s="14" t="n">
        <f aca="false">E26</f>
        <v>866</v>
      </c>
    </row>
    <row r="29" customFormat="false" ht="15" hidden="false" customHeight="false" outlineLevel="0" collapsed="false">
      <c r="A29" s="15" t="s">
        <v>73</v>
      </c>
      <c r="E29" s="14" t="n">
        <f aca="false">E26*0.15</f>
        <v>129.9</v>
      </c>
    </row>
    <row r="30" customFormat="false" ht="15" hidden="false" customHeight="false" outlineLevel="0" collapsed="false">
      <c r="A30" s="16" t="s">
        <v>74</v>
      </c>
      <c r="E30" s="17" t="n">
        <f aca="false">E28+E29</f>
        <v>995.9</v>
      </c>
    </row>
    <row r="32" customFormat="false" ht="15" hidden="false" customHeight="true" outlineLevel="0" collapsed="false">
      <c r="A32" s="18" t="s">
        <v>75</v>
      </c>
      <c r="B32" s="18"/>
      <c r="C32" s="18"/>
      <c r="D32" s="18"/>
      <c r="E32" s="18"/>
      <c r="F32" s="18"/>
    </row>
  </sheetData>
  <mergeCells count="4">
    <mergeCell ref="A1:F1"/>
    <mergeCell ref="A2:F2"/>
    <mergeCell ref="A26:D26"/>
    <mergeCell ref="A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2026-10-30T02:02:37Z</dcterms:created>
  <dc:creator>openpyxl</dc:creator>
  <dc:description/>
  <dc:language>en-US</dc:language>
  <cp:lastModifiedBy/>
  <dcterms:modified xsi:type="dcterms:W3CDTF">2026-10-30T02:02:37Z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